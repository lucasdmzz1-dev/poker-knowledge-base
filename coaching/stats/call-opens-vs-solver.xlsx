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allOpen_vs_Base" sheetId="2" state="visible" r:id="rId4"/>
    <sheet name="Padroes" sheetId="3" state="visible" r:id="rId5"/>
    <sheet name="Maos_por_spot" sheetId="4" state="visible" r:id="rId6"/>
    <sheet name="Folds_lidos" sheetId="5" state="visible" r:id="rId7"/>
    <sheet name="Folds_total" sheetId="6" state="visible" r:id="rId8"/>
    <sheet name="Erros_comuns" sheetId="7" state="visible" r:id="rId9"/>
    <sheet name="Mais_foldadas" sheetId="8" state="visible" r:id="rId10"/>
    <sheet name="Checklist_folds" sheetId="9" state="visible" r:id="rId11"/>
  </sheets>
  <definedNames>
    <definedName function="false" hidden="true" localSheetId="8" name="_xlnm._FilterDatabase" vbProcedure="false">Checklist_folds!$A$5:$H$198</definedName>
    <definedName function="false" hidden="true" localSheetId="7" name="_xlnm._FilterDatabase" vbProcedure="false">Mais_foldadas!$A$4:$I$47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<sst xmlns="http://schemas.openxmlformats.org/spreadsheetml/2006/main" count="1266" uniqueCount="317">
  <si>
    <t xml:space="preserve">Base do solver: defesa contra RFI (ChipEV, 40bb)</t>
  </si>
  <si>
    <t xml:space="preserve">Cada spot é o hero contra o open da posição imediatamente à direita. Fonte: prints do GTO Wizard enviados pelo usuário.</t>
  </si>
  <si>
    <t xml:space="preserve">Spot</t>
  </si>
  <si>
    <t xml:space="preserve">Raise (3bet)</t>
  </si>
  <si>
    <t xml:space="preserve">All-in</t>
  </si>
  <si>
    <t xml:space="preserve">Call</t>
  </si>
  <si>
    <t xml:space="preserve">3bet total</t>
  </si>
  <si>
    <t xml:space="preserve">Defende no total</t>
  </si>
  <si>
    <t xml:space="preserve">Fold</t>
  </si>
  <si>
    <t xml:space="preserve">% do 3bet na defesa</t>
  </si>
  <si>
    <t xml:space="preserve">Obs.</t>
  </si>
  <si>
    <t xml:space="preserve">HJ vs LJ</t>
  </si>
  <si>
    <t xml:space="preserve">Raise 3x</t>
  </si>
  <si>
    <t xml:space="preserve">CO vs HJ</t>
  </si>
  <si>
    <t xml:space="preserve">BTN vs CO</t>
  </si>
  <si>
    <t xml:space="preserve">SB vs BTN</t>
  </si>
  <si>
    <t xml:space="preserve">Raise 3,5x + all-in</t>
  </si>
  <si>
    <t xml:space="preserve">Notas</t>
  </si>
  <si>
    <t xml:space="preserve">Células em azul são números lidos dos prints do solver (Raise, All-in e Call mostrados na tela). Em preto, fórmulas.</t>
  </si>
  <si>
    <t xml:space="preserve">O fold calculado (100% − defende) pode diferir de 0,1 ponto do fold da tela por arredondamento.</t>
  </si>
  <si>
    <t xml:space="preserve">O 3bet quase não cresce com a posição (7,9% → 9,8% do HJ ao BTN), enquanto o call vai de 5,5% para 15,1%.</t>
  </si>
  <si>
    <t xml:space="preserve">No SB o 3bet domina a defesa. No BTN o call domina.</t>
  </si>
  <si>
    <t xml:space="preserve">Os spots aqui são uma base: muitos dos seus spots reais serão contra openers mais cedo (range mais curto).</t>
  </si>
  <si>
    <t xml:space="preserve">Seu call open contra a base do solver</t>
  </si>
  <si>
    <t xml:space="preserve">Valores do painel de evolução (S1 a S4) e metas do coach. Preencha a S5 e os 3bets nas células amarelas.</t>
  </si>
  <si>
    <t xml:space="preserve">Posição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</si>
  <si>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</si>
  <si>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</si>
  <si>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</si>
  <si>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</si>
  <si>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</si>
  <si>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Meta mín</t>
  </si>
  <si>
    <t xml:space="preserve">Meta máx</t>
  </si>
  <si>
    <t xml:space="preserve">Meta S4</t>
  </si>
  <si>
    <t xml:space="preserve">Base solver (call)</t>
  </si>
  <si>
    <t xml:space="preserve">S4 − base</t>
  </si>
  <si>
    <t xml:space="preserve">S4 − meta S4</t>
  </si>
  <si>
    <t xml:space="preserve">Status S4 vs meta</t>
  </si>
  <si>
    <t xml:space="preserve">HJ</t>
  </si>
  <si>
    <t xml:space="preserve">CO</t>
  </si>
  <si>
    <t xml:space="preserve">BTN</t>
  </si>
  <si>
    <t xml:space="preserve">SB</t>
  </si>
  <si>
    <t xml:space="preserve">3bet por posição (preencha)</t>
  </si>
  <si>
    <t xml:space="preserve">Call + 3bet (defesa total, fórmula)</t>
  </si>
  <si>
    <t xml:space="preserve">Legenda</t>
  </si>
  <si>
    <t xml:space="preserve">Amarelo = células para você preencher (S5 e 3bets). Azul = números digitados. Preto = fórmulas. Verde = vínculo com outra aba.</t>
  </si>
  <si>
    <t xml:space="preserve">Exemplo de preenchimento: 3bet do HJ na S4 = 4,1% (digite 4,1% ou 0,041). O resultado aparece na linha "Call + 3bet".</t>
  </si>
  <si>
    <t xml:space="preserve">Metas do coach: HJ 8–9%, CO 12–15%, BTN 16–19%, SB 13–16%. "Meta S4" é a meta intermediária definida para a semana 4.</t>
  </si>
  <si>
    <t xml:space="preserve">A base do solver é um teto: o seu stat soma todos os openers, e contra posições mais cedo o call esperado é menor.</t>
  </si>
  <si>
    <t xml:space="preserve">Padrões entre call e 3bet no solver</t>
  </si>
  <si>
    <t xml:space="preserve">Lidos dos grids dos prints: % das combinações de cada família de mãos que dão 3bet ou call.</t>
  </si>
  <si>
    <t xml:space="preserve">Família</t>
  </si>
  <si>
    <t xml:space="preserve">HJ 3bet</t>
  </si>
  <si>
    <t xml:space="preserve">HJ Call</t>
  </si>
  <si>
    <t xml:space="preserve">CO 3bet</t>
  </si>
  <si>
    <t xml:space="preserve">CO Call</t>
  </si>
  <si>
    <t xml:space="preserve">BTN 3bet</t>
  </si>
  <si>
    <t xml:space="preserve">BTN Call</t>
  </si>
  <si>
    <t xml:space="preserve">SB 3bet</t>
  </si>
  <si>
    <t xml:space="preserve">SB Call</t>
  </si>
  <si>
    <t xml:space="preserve">Pares</t>
  </si>
  <si>
    <t xml:space="preserve">Suited</t>
  </si>
  <si>
    <t xml:space="preserve">Offsuit</t>
  </si>
  <si>
    <t xml:space="preserve">Mãos que continuam e mãos que estão nos dois (call e 3bet)</t>
  </si>
  <si>
    <t xml:space="preserve">Mãos que continuam</t>
  </si>
  <si>
    <t xml:space="preserve">Mistas (3bet e call)</t>
  </si>
  <si>
    <t xml:space="preserve">% mistas</t>
  </si>
  <si>
    <t xml:space="preserve">Padrões encontrados</t>
  </si>
  <si>
    <t xml:space="preserve">1. O 3bet fica quase estável de HJ a BTN (7,9% → 9,8%) e o call triplica (5,5% → 15,1%): defender mais contra opens tardios é, em grande parte, call.</t>
  </si>
  <si>
    <t xml:space="preserve">2. Cerca de 40% das mãos que continuam estão nos dois: são as de força média (AQo, KQo, AJo, 99–77, JTs, T9s, A9s, A8s, A5s). No HJ, o AQo é 44% call e 56% 3bet.</t>
  </si>
  <si>
    <t xml:space="preserve">3. Offsuit quase nunca é call puro nas posições cedo (HJ: 5% 3bet e 1% call das combinações offsuit): AQo, AJo, ATo e KQo são 3bet ou fold.</t>
  </si>
  <si>
    <t xml:space="preserve">4. O 3bet tem valor (AA a JJ, AK, AQs) e bloqueadores que pagam mal (A5s, A6s, K9s, Q9s e, no BTN, A4s a A2s e K8s a K6s).</t>
  </si>
  <si>
    <t xml:space="preserve">5. Call puro: AJs, ATs, KQs, KJs, KTs, QJs, QTs, pares médios e baixos e, só em posição tardia, os suited connectors (T9s, 98s, 87s, 76s).</t>
  </si>
  <si>
    <t xml:space="preserve">6. Pares: o 3bet fica em ~45% dos pares de HJ a BTN e o call sobe de 27% para 55%. No SB, 74% dos pares vão de 3bet.</t>
  </si>
  <si>
    <t xml:space="preserve">Valores em azul foram lidos pela cor de cada célula nos prints (3bet/all-in em laranja ou vermelho, call em verde-água). Margem de leitura de poucos pontos.</t>
  </si>
  <si>
    <t xml:space="preserve">As 169 mãos em cada spot (3bet, call e continua)</t>
  </si>
  <si>
    <t xml:space="preserve">Frequências lidas dos grids pela cor da célula, arredondadas para 5%. Fold = o que sobra. Exatos da tela: AQo no HJ (56% 3bet / 44% call), AKo no BTN (100% 3bet), AA no CO (94/6), AQo no SB (100% 3bet).</t>
  </si>
  <si>
    <t xml:space="preserve">Mão</t>
  </si>
  <si>
    <t xml:space="preserve">HJ Continua</t>
  </si>
  <si>
    <t xml:space="preserve">HJ Ação</t>
  </si>
  <si>
    <t xml:space="preserve">CO Continua</t>
  </si>
  <si>
    <t xml:space="preserve">CO Ação</t>
  </si>
  <si>
    <t xml:space="preserve">BTN Continua</t>
  </si>
  <si>
    <t xml:space="preserve">BTN Ação</t>
  </si>
  <si>
    <t xml:space="preserve">SB Continua</t>
  </si>
  <si>
    <t xml:space="preserve">SB Ação</t>
  </si>
  <si>
    <t xml:space="preserve">AA</t>
  </si>
  <si>
    <t xml:space="preserve">AKs</t>
  </si>
  <si>
    <t xml:space="preserve">AQs</t>
  </si>
  <si>
    <t xml:space="preserve">AJs</t>
  </si>
  <si>
    <t xml:space="preserve">ATs</t>
  </si>
  <si>
    <t xml:space="preserve">A9s</t>
  </si>
  <si>
    <t xml:space="preserve">A8s</t>
  </si>
  <si>
    <t xml:space="preserve">A7s</t>
  </si>
  <si>
    <t xml:space="preserve">A6s</t>
  </si>
  <si>
    <t xml:space="preserve">A5s</t>
  </si>
  <si>
    <t xml:space="preserve">A4s</t>
  </si>
  <si>
    <t xml:space="preserve">A3s</t>
  </si>
  <si>
    <t xml:space="preserve">A2s</t>
  </si>
  <si>
    <t xml:space="preserve">AKo</t>
  </si>
  <si>
    <t xml:space="preserve">KK</t>
  </si>
  <si>
    <t xml:space="preserve">KQs</t>
  </si>
  <si>
    <t xml:space="preserve">KJs</t>
  </si>
  <si>
    <t xml:space="preserve">KTs</t>
  </si>
  <si>
    <t xml:space="preserve">K9s</t>
  </si>
  <si>
    <t xml:space="preserve">K8s</t>
  </si>
  <si>
    <t xml:space="preserve">K7s</t>
  </si>
  <si>
    <t xml:space="preserve">K6s</t>
  </si>
  <si>
    <t xml:space="preserve">K5s</t>
  </si>
  <si>
    <t xml:space="preserve">K4s</t>
  </si>
  <si>
    <t xml:space="preserve">K3s</t>
  </si>
  <si>
    <t xml:space="preserve">K2s</t>
  </si>
  <si>
    <t xml:space="preserve">AQo</t>
  </si>
  <si>
    <t xml:space="preserve">KQo</t>
  </si>
  <si>
    <t xml:space="preserve">QQ</t>
  </si>
  <si>
    <t xml:space="preserve">QJs</t>
  </si>
  <si>
    <t xml:space="preserve">QTs</t>
  </si>
  <si>
    <t xml:space="preserve">Q9s</t>
  </si>
  <si>
    <t xml:space="preserve">Q8s</t>
  </si>
  <si>
    <t xml:space="preserve">Q7s</t>
  </si>
  <si>
    <t xml:space="preserve">Q6s</t>
  </si>
  <si>
    <t xml:space="preserve">Q5s</t>
  </si>
  <si>
    <t xml:space="preserve">Q4s</t>
  </si>
  <si>
    <t xml:space="preserve">Q3s</t>
  </si>
  <si>
    <t xml:space="preserve">Q2s</t>
  </si>
  <si>
    <t xml:space="preserve">AJo</t>
  </si>
  <si>
    <t xml:space="preserve">KJo</t>
  </si>
  <si>
    <t xml:space="preserve">QJo</t>
  </si>
  <si>
    <t xml:space="preserve">JJ</t>
  </si>
  <si>
    <t xml:space="preserve">JTs</t>
  </si>
  <si>
    <t xml:space="preserve">J9s</t>
  </si>
  <si>
    <t xml:space="preserve">J8s</t>
  </si>
  <si>
    <t xml:space="preserve">J7s</t>
  </si>
  <si>
    <t xml:space="preserve">J6s</t>
  </si>
  <si>
    <t xml:space="preserve">J5s</t>
  </si>
  <si>
    <t xml:space="preserve">J4s</t>
  </si>
  <si>
    <t xml:space="preserve">J3s</t>
  </si>
  <si>
    <t xml:space="preserve">J2s</t>
  </si>
  <si>
    <t xml:space="preserve">ATo</t>
  </si>
  <si>
    <t xml:space="preserve">KTo</t>
  </si>
  <si>
    <t xml:space="preserve">QTo</t>
  </si>
  <si>
    <t xml:space="preserve">JTo</t>
  </si>
  <si>
    <t xml:space="preserve">TT</t>
  </si>
  <si>
    <t xml:space="preserve">T9s</t>
  </si>
  <si>
    <t xml:space="preserve">T8s</t>
  </si>
  <si>
    <t xml:space="preserve">T7s</t>
  </si>
  <si>
    <t xml:space="preserve">T6s</t>
  </si>
  <si>
    <t xml:space="preserve">T5s</t>
  </si>
  <si>
    <t xml:space="preserve">T4s</t>
  </si>
  <si>
    <t xml:space="preserve">T3s</t>
  </si>
  <si>
    <t xml:space="preserve">T2s</t>
  </si>
  <si>
    <t xml:space="preserve">A9o</t>
  </si>
  <si>
    <t xml:space="preserve">K9o</t>
  </si>
  <si>
    <t xml:space="preserve">Q9o</t>
  </si>
  <si>
    <t xml:space="preserve">J9o</t>
  </si>
  <si>
    <t xml:space="preserve">T9o</t>
  </si>
  <si>
    <t xml:space="preserve">99</t>
  </si>
  <si>
    <t xml:space="preserve">98s</t>
  </si>
  <si>
    <t xml:space="preserve">97s</t>
  </si>
  <si>
    <t xml:space="preserve">96s</t>
  </si>
  <si>
    <t xml:space="preserve">95s</t>
  </si>
  <si>
    <t xml:space="preserve">94s</t>
  </si>
  <si>
    <t xml:space="preserve">93s</t>
  </si>
  <si>
    <t xml:space="preserve">92s</t>
  </si>
  <si>
    <t xml:space="preserve">A8o</t>
  </si>
  <si>
    <t xml:space="preserve">K8o</t>
  </si>
  <si>
    <t xml:space="preserve">Q8o</t>
  </si>
  <si>
    <t xml:space="preserve">J8o</t>
  </si>
  <si>
    <t xml:space="preserve">T8o</t>
  </si>
  <si>
    <t xml:space="preserve">98o</t>
  </si>
  <si>
    <t xml:space="preserve">88</t>
  </si>
  <si>
    <t xml:space="preserve">87s</t>
  </si>
  <si>
    <t xml:space="preserve">86s</t>
  </si>
  <si>
    <t xml:space="preserve">85s</t>
  </si>
  <si>
    <t xml:space="preserve">84s</t>
  </si>
  <si>
    <t xml:space="preserve">83s</t>
  </si>
  <si>
    <t xml:space="preserve">82s</t>
  </si>
  <si>
    <t xml:space="preserve">A7o</t>
  </si>
  <si>
    <t xml:space="preserve">K7o</t>
  </si>
  <si>
    <t xml:space="preserve">Q7o</t>
  </si>
  <si>
    <t xml:space="preserve">J7o</t>
  </si>
  <si>
    <t xml:space="preserve">T7o</t>
  </si>
  <si>
    <t xml:space="preserve">97o</t>
  </si>
  <si>
    <t xml:space="preserve">87o</t>
  </si>
  <si>
    <t xml:space="preserve">77</t>
  </si>
  <si>
    <t xml:space="preserve">76s</t>
  </si>
  <si>
    <t xml:space="preserve">75s</t>
  </si>
  <si>
    <t xml:space="preserve">74s</t>
  </si>
  <si>
    <t xml:space="preserve">73s</t>
  </si>
  <si>
    <t xml:space="preserve">72s</t>
  </si>
  <si>
    <t xml:space="preserve">A6o</t>
  </si>
  <si>
    <t xml:space="preserve">K6o</t>
  </si>
  <si>
    <t xml:space="preserve">Q6o</t>
  </si>
  <si>
    <t xml:space="preserve">J6o</t>
  </si>
  <si>
    <t xml:space="preserve">T6o</t>
  </si>
  <si>
    <t xml:space="preserve">96o</t>
  </si>
  <si>
    <t xml:space="preserve">86o</t>
  </si>
  <si>
    <t xml:space="preserve">76o</t>
  </si>
  <si>
    <t xml:space="preserve">66</t>
  </si>
  <si>
    <t xml:space="preserve">65s</t>
  </si>
  <si>
    <t xml:space="preserve">64s</t>
  </si>
  <si>
    <t xml:space="preserve">63s</t>
  </si>
  <si>
    <t xml:space="preserve">62s</t>
  </si>
  <si>
    <t xml:space="preserve">A5o</t>
  </si>
  <si>
    <t xml:space="preserve">K5o</t>
  </si>
  <si>
    <t xml:space="preserve">Q5o</t>
  </si>
  <si>
    <t xml:space="preserve">J5o</t>
  </si>
  <si>
    <t xml:space="preserve">T5o</t>
  </si>
  <si>
    <t xml:space="preserve">95o</t>
  </si>
  <si>
    <t xml:space="preserve">85o</t>
  </si>
  <si>
    <t xml:space="preserve">75o</t>
  </si>
  <si>
    <t xml:space="preserve">65o</t>
  </si>
  <si>
    <t xml:space="preserve">55</t>
  </si>
  <si>
    <t xml:space="preserve">54s</t>
  </si>
  <si>
    <t xml:space="preserve">53s</t>
  </si>
  <si>
    <t xml:space="preserve">52s</t>
  </si>
  <si>
    <t xml:space="preserve">A4o</t>
  </si>
  <si>
    <t xml:space="preserve">K4o</t>
  </si>
  <si>
    <t xml:space="preserve">Q4o</t>
  </si>
  <si>
    <t xml:space="preserve">J4o</t>
  </si>
  <si>
    <t xml:space="preserve">T4o</t>
  </si>
  <si>
    <t xml:space="preserve">94o</t>
  </si>
  <si>
    <t xml:space="preserve">84o</t>
  </si>
  <si>
    <t xml:space="preserve">74o</t>
  </si>
  <si>
    <t xml:space="preserve">64o</t>
  </si>
  <si>
    <t xml:space="preserve">54o</t>
  </si>
  <si>
    <t xml:space="preserve">44</t>
  </si>
  <si>
    <t xml:space="preserve">43s</t>
  </si>
  <si>
    <t xml:space="preserve">42s</t>
  </si>
  <si>
    <t xml:space="preserve">A3o</t>
  </si>
  <si>
    <t xml:space="preserve">K3o</t>
  </si>
  <si>
    <t xml:space="preserve">Q3o</t>
  </si>
  <si>
    <t xml:space="preserve">J3o</t>
  </si>
  <si>
    <t xml:space="preserve">T3o</t>
  </si>
  <si>
    <t xml:space="preserve">93o</t>
  </si>
  <si>
    <t xml:space="preserve">83o</t>
  </si>
  <si>
    <t xml:space="preserve">73o</t>
  </si>
  <si>
    <t xml:space="preserve">63o</t>
  </si>
  <si>
    <t xml:space="preserve">53o</t>
  </si>
  <si>
    <t xml:space="preserve">43o</t>
  </si>
  <si>
    <t xml:space="preserve">33</t>
  </si>
  <si>
    <t xml:space="preserve">32s</t>
  </si>
  <si>
    <t xml:space="preserve">A2o</t>
  </si>
  <si>
    <t xml:space="preserve">K2o</t>
  </si>
  <si>
    <t xml:space="preserve">Q2o</t>
  </si>
  <si>
    <t xml:space="preserve">J2o</t>
  </si>
  <si>
    <t xml:space="preserve">T2o</t>
  </si>
  <si>
    <t xml:space="preserve">92o</t>
  </si>
  <si>
    <t xml:space="preserve">82o</t>
  </si>
  <si>
    <t xml:space="preserve">72o</t>
  </si>
  <si>
    <t xml:space="preserve">62o</t>
  </si>
  <si>
    <t xml:space="preserve">52o</t>
  </si>
  <si>
    <t xml:space="preserve">42o</t>
  </si>
  <si>
    <t xml:space="preserve">32o</t>
  </si>
  <si>
    <t xml:space="preserve">22</t>
  </si>
  <si>
    <t xml:space="preserve">Ação: "Fold" se continua menos de 20%; "3bet/call" se os dois têm 20% ou mais; senão a maior. Em frequências parciais, o resto é fold.</t>
  </si>
  <si>
    <t xml:space="preserve">Vezes foldada por mão (lidas dos prints do painel de evolução)</t>
  </si>
  <si>
    <t xml:space="preserve">Folds lidos dos prints do painel (S3 e S4 de HJ, CO, BTN e SB). S1 e S2 não entram: o leitor erra em células claras. Células duvidosas foram conferidas à mão (5 corrigidas: números de 14 a 16).</t>
  </si>
  <si>
    <t xml:space="preserve">HJ S3</t>
  </si>
  <si>
    <t xml:space="preserve">HJ S4</t>
  </si>
  <si>
    <t xml:space="preserve">CO S3</t>
  </si>
  <si>
    <t xml:space="preserve">CO S4</t>
  </si>
  <si>
    <t xml:space="preserve">BTN S3</t>
  </si>
  <si>
    <t xml:space="preserve">BTN S4</t>
  </si>
  <si>
    <t xml:space="preserve">SB S3</t>
  </si>
  <si>
    <t xml:space="preserve">SB S4</t>
  </si>
  <si>
    <t xml:space="preserve">Resumo HJ</t>
  </si>
  <si>
    <t xml:space="preserve">Total de folds</t>
  </si>
  <si>
    <t xml:space="preserve">Em mãos que o solver defende (≥80%)</t>
  </si>
  <si>
    <t xml:space="preserve">Em mãos que o solver defende em parte (30–80%)</t>
  </si>
  <si>
    <t xml:space="preserve">Em mãos que o solver folda (&lt;30%)</t>
  </si>
  <si>
    <t xml:space="preserve">% dos folds em mãos defendidas (≥30%)</t>
  </si>
  <si>
    <t xml:space="preserve">Resumo CO</t>
  </si>
  <si>
    <t xml:space="preserve">Resumo BTN</t>
  </si>
  <si>
    <t xml:space="preserve">Resumo SB</t>
  </si>
  <si>
    <t xml:space="preserve">Vezes foldada por mão: total de todas as semanas (prints do Hand2Note, aba Fold)</t>
  </si>
  <si>
    <t xml:space="preserve">Contagens lidas dos prints [LUC] CALL-OPEN HJ, CO, BTN e SB (matriz Fold). Células claras de duas casas foram conferidas à mão. Valor em azul = lido do print.</t>
  </si>
  <si>
    <t xml:space="preserve">Resumo por posição</t>
  </si>
  <si>
    <t xml:space="preserve">% dos folds em mãos defendidas (≥80%)</t>
  </si>
  <si>
    <t xml:space="preserve">Stat acumulado do HUD (Call open) e lucro da ação</t>
  </si>
  <si>
    <t xml:space="preserve">Stat Value (%)</t>
  </si>
  <si>
    <t xml:space="preserve">Base solver (call, 40bb)</t>
  </si>
  <si>
    <t xml:space="preserve">Diferença (stat − base)</t>
  </si>
  <si>
    <t xml:space="preserve">Action Profit (bb/mão)</t>
  </si>
  <si>
    <t xml:space="preserve">Os números do Stat Value e do Action Profit vêm do cabeçalho de cada print do HUD, informados pelo usuário.</t>
  </si>
  <si>
    <t xml:space="preserve">Erros mais comuns: mãos que o solver defende (40bb) e você folda com frequência</t>
  </si>
  <si>
    <t xml:space="preserve">Lista só as mãos com 7 ou mais folds (poucos folds são desconsiderados: costumam ser spot específico). "Defende só em parte" = o fold pode estar certo na maior parte das vezes.</t>
  </si>
  <si>
    <t xml:space="preserve">Folds (total)</t>
  </si>
  <si>
    <t xml:space="preserve">Solver continua</t>
  </si>
  <si>
    <t xml:space="preserve">Ação do solver</t>
  </si>
  <si>
    <t xml:space="preserve">Peso (folds × continua)</t>
  </si>
  <si>
    <t xml:space="preserve">Leitura</t>
  </si>
  <si>
    <t xml:space="preserve">Folds por família (só mãos da lista acima)</t>
  </si>
  <si>
    <t xml:space="preserve">Par</t>
  </si>
  <si>
    <t xml:space="preserve">Total na lista</t>
  </si>
  <si>
    <t xml:space="preserve">HJ não aparece: nenhuma mão defendida pelo solver passa de 6 folds (KQo 6, ATo 4). Não há erro sistemático no HJ.</t>
  </si>
  <si>
    <t xml:space="preserve">No CO, as mãos da lista são defendidas só em parte pelo solver (K8s, KJo e 44, entre 40% e 55%). Também não há erro claro.</t>
  </si>
  <si>
    <t xml:space="preserve">BTN e SB concentram os erros: offsuit (A9o, A8o, QJo, KTo, QTo, JTo) e suited fracos (Q8s, Q7s, K6s, K5s, T8s, 87s), além de 33 e 22.</t>
  </si>
  <si>
    <t xml:space="preserve">Ações do solver nessas mãos: as offsuit são "3bet/call" (mistas), então o fold perde o 3bet e o call. Os suited fracos e os pares pequenos são call.</t>
  </si>
  <si>
    <t xml:space="preserve">A8o no BTN (38%) e A7o no SB (58%) têm contagens altas porque o solver defende só em parte: boa parte dos folds é correta.</t>
  </si>
  <si>
    <t xml:space="preserve">Mãos defendidas pelo solver que você mais folda (S3 + S4)</t>
  </si>
  <si>
    <t xml:space="preserve">Folds vêm da aba Folds_lidos; 3bet e call do solver vêm da aba Maos_por_spot (base: hero contra o open da posição à direita, 40bb). Só entram mãos com 3 ou mais folds nas duas semanas e continua de 30% ou mais.</t>
  </si>
  <si>
    <t xml:space="preserve">Folds S3</t>
  </si>
  <si>
    <t xml:space="preserve">Folds S4</t>
  </si>
  <si>
    <t xml:space="preserve">Total</t>
  </si>
  <si>
    <t xml:space="preserve">Solver 3bet</t>
  </si>
  <si>
    <t xml:space="preserve">Solver call</t>
  </si>
  <si>
    <t xml:space="preserve">Ação dominante do solver</t>
  </si>
  <si>
    <t xml:space="preserve">Checklist: mãos que o solver defende e você pode estar foldando</t>
  </si>
  <si>
    <t xml:space="preserve">Só aparecem as mãos que o solver continua em 30% ou mais. Preencha "Vezes foldada" com o número do seu HUD (amarelo).</t>
  </si>
  <si>
    <t xml:space="preserve">Legenda: "Vezes foldada" vem da aba Folds_total (todas as semanas). Peso = foldada × continua do solver. "Revisar" aparece quando o solver defende a mão em 80% ou mais e os folds chegam ao mínimo da célula amarela D4. Amarelo: mínimo e observações.</t>
  </si>
  <si>
    <t xml:space="preserve">Mínimo de folds para marcar "Revisar":</t>
  </si>
  <si>
    <t xml:space="preserve">Continua (solver)</t>
  </si>
  <si>
    <t xml:space="preserve">Vezes foldada (total das semanas)</t>
  </si>
  <si>
    <t xml:space="preserve">Peso</t>
  </si>
  <si>
    <t xml:space="preserve">Prioridade</t>
  </si>
  <si>
    <t xml:space="preserve">Observação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</si>
</sst>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%"/>
    <numFmt numFmtId="167" formatCode="\+0.0%;\-0.0%;0.0%"/>
    <numFmt numFmtId="168" formatCode="0"/>
    <numFmt numFmtId="169" formatCode="\+0.00;\-0.00;0.00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02A"/>
        <bgColor rgb="FF00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C6"/>
      </left>
      <right style="thin">
        <color rgb="FFC9D2C6"/>
      </right>
      <top style="thin">
        <color rgb="FFC9D2C6"/>
      </top>
      <bottom style="thin">
        <color rgb="FFC9D2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730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2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4" min="3" style="1" width="10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2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s">
        <v>11</v>
      </c>
      <c r="B5" s="6" t="n">
        <v>0.079</v>
      </c>
      <c r="C5" s="6" t="n">
        <v>0</v>
      </c>
      <c r="D5" s="6" t="n">
        <v>0.055</v>
      </c>
      <c r="E5" s="7" t="n">
        <f aca="false">B5+C5</f>
        <v>0.079</v>
      </c>
      <c r="F5" s="7" t="n">
        <f aca="false">E5+D5</f>
        <v>0.134</v>
      </c>
      <c r="G5" s="7" t="n">
        <f aca="false">1-F5</f>
        <v>0.866</v>
      </c>
      <c r="H5" s="8" t="n">
        <f aca="false">E5/F5</f>
        <v>0.58955223880597</v>
      </c>
      <c r="I5" s="9" t="s">
        <v>12</v>
      </c>
    </row>
    <row r="6" customFormat="false" ht="15" hidden="false" customHeight="true" outlineLevel="0" collapsed="false">
      <c r="A6" s="5" t="s">
        <v>13</v>
      </c>
      <c r="B6" s="6" t="n">
        <v>0.088</v>
      </c>
      <c r="C6" s="6" t="n">
        <v>0</v>
      </c>
      <c r="D6" s="6" t="n">
        <v>0.08</v>
      </c>
      <c r="E6" s="7" t="n">
        <f aca="false">B6+C6</f>
        <v>0.088</v>
      </c>
      <c r="F6" s="7" t="n">
        <f aca="false">E6+D6</f>
        <v>0.168</v>
      </c>
      <c r="G6" s="7" t="n">
        <f aca="false">1-F6</f>
        <v>0.832</v>
      </c>
      <c r="H6" s="8" t="n">
        <f aca="false">E6/F6</f>
        <v>0.523809523809524</v>
      </c>
      <c r="I6" s="9" t="s">
        <v>12</v>
      </c>
    </row>
    <row r="7" customFormat="false" ht="15" hidden="false" customHeight="true" outlineLevel="0" collapsed="false">
      <c r="A7" s="5" t="s">
        <v>14</v>
      </c>
      <c r="B7" s="6" t="n">
        <v>0.098</v>
      </c>
      <c r="C7" s="6" t="n">
        <v>0</v>
      </c>
      <c r="D7" s="6" t="n">
        <v>0.151</v>
      </c>
      <c r="E7" s="7" t="n">
        <f aca="false">B7+C7</f>
        <v>0.098</v>
      </c>
      <c r="F7" s="7" t="n">
        <f aca="false">E7+D7</f>
        <v>0.249</v>
      </c>
      <c r="G7" s="7" t="n">
        <f aca="false">1-F7</f>
        <v>0.751</v>
      </c>
      <c r="H7" s="8" t="n">
        <f aca="false">E7/F7</f>
        <v>0.393574297188755</v>
      </c>
      <c r="I7" s="9" t="s">
        <v>12</v>
      </c>
    </row>
    <row r="8" customFormat="false" ht="15" hidden="false" customHeight="true" outlineLevel="0" collapsed="false">
      <c r="A8" s="5" t="s">
        <v>15</v>
      </c>
      <c r="B8" s="6" t="n">
        <v>0.13</v>
      </c>
      <c r="C8" s="6" t="n">
        <v>0.041</v>
      </c>
      <c r="D8" s="6" t="n">
        <v>0.116</v>
      </c>
      <c r="E8" s="7" t="n">
        <f aca="false">B8+C8</f>
        <v>0.171</v>
      </c>
      <c r="F8" s="7" t="n">
        <f aca="false">E8+D8</f>
        <v>0.287</v>
      </c>
      <c r="G8" s="7" t="n">
        <f aca="false">1-F8</f>
        <v>0.713</v>
      </c>
      <c r="H8" s="8" t="n">
        <f aca="false">E8/F8</f>
        <v>0.59581881533101</v>
      </c>
      <c r="I8" s="9" t="s">
        <v>16</v>
      </c>
    </row>
    <row r="10" customFormat="false" ht="15" hidden="false" customHeight="true" outlineLevel="0" collapsed="false">
      <c r="A10" s="10" t="s">
        <v>17</v>
      </c>
    </row>
    <row r="11" customFormat="false" ht="15" hidden="false" customHeight="true" outlineLevel="0" collapsed="false">
      <c r="A11" s="11" t="s">
        <v>18</v>
      </c>
    </row>
    <row r="12" customFormat="false" ht="15" hidden="false" customHeight="true" outlineLevel="0" collapsed="false">
      <c r="A12" s="11" t="s">
        <v>19</v>
      </c>
    </row>
    <row r="13" customFormat="false" ht="15" hidden="false" customHeight="true" outlineLevel="0" collapsed="false">
      <c r="A13" s="11" t="s">
        <v>20</v>
      </c>
    </row>
    <row r="14" customFormat="false" ht="15" hidden="false" customHeight="true" outlineLevel="0" collapsed="false">
      <c r="A14" s="11" t="s">
        <v>21</v>
      </c>
    </row>
    <row r="15" customFormat="false" ht="15" hidden="false" customHeight="true" outlineLevel="0" collapsed="false">
      <c r="A15" s="1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6" min="2" style="1" width="9"/>
    <col collapsed="false" customWidth="true" hidden="false" outlineLevel="0" max="9" min="7" style="1" width="10"/>
    <col collapsed="false" customWidth="true" hidden="false" outlineLevel="0" max="10" min="10" style="1" width="16"/>
    <col collapsed="false" customWidth="true" hidden="false" outlineLevel="0" max="11" min="11" style="1" width="11"/>
    <col collapsed="false" customWidth="true" hidden="false" outlineLevel="0" max="12" min="12" style="1" width="13"/>
    <col collapsed="false" customWidth="true" hidden="false" outlineLevel="0" max="13" min="13" style="1" width="18"/>
  </cols>
  <sheetData>
    <row r="1" customFormat="false" ht="17.25" hidden="false" customHeight="true" outlineLevel="0" collapsed="false">
      <c r="A1" s="2" t="s">
        <v>23</v>
      </c>
    </row>
    <row r="2" customFormat="false" ht="15" hidden="false" customHeight="true" outlineLevel="0" collapsed="false">
      <c r="A2" s="3" t="s">
        <v>24</v>
      </c>
    </row>
    <row r="4" customFormat="false" ht="15" hidden="false" customHeight="true" outlineLevel="0" collapsed="false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35</v>
      </c>
      <c r="L4" s="4" t="s">
        <v>36</v>
      </c>
      <c r="M4" s="4" t="s">
        <v>37</v>
      </c>
    </row>
    <row r="5" customFormat="false" ht="15" hidden="false" customHeight="true" outlineLevel="0" collapsed="false">
      <c r="A5" s="5" t="s">
        <v>38</v>
      </c>
      <c r="B5" s="6" t="n">
        <v>0.09</v>
      </c>
      <c r="C5" s="6" t="n">
        <v>0.077</v>
      </c>
      <c r="D5" s="6" t="n">
        <v>0.077</v>
      </c>
      <c r="E5" s="6" t="n">
        <v>0.045</v>
      </c>
      <c r="F5" s="12"/>
      <c r="G5" s="6" t="n">
        <v>0.08</v>
      </c>
      <c r="H5" s="6" t="n">
        <v>0.09</v>
      </c>
      <c r="I5" s="6" t="n">
        <v>0.08</v>
      </c>
      <c r="J5" s="13" t="n">
        <f aca="false">Resumo!D5</f>
        <v>0.055</v>
      </c>
      <c r="K5" s="14" t="n">
        <f aca="false">E5-J5</f>
        <v>-0.01</v>
      </c>
      <c r="L5" s="14" t="n">
        <f aca="false">E5-I5</f>
        <v>-0.035</v>
      </c>
      <c r="M5" s="9" t="str">
        <f aca="false">IF(E5&lt;G5,"Abaixo da meta",IF(E5&gt;H5,"Acima da meta","Na meta"))</f>
        <v>Abaixo da meta</v>
      </c>
    </row>
    <row r="6" customFormat="false" ht="15" hidden="false" customHeight="true" outlineLevel="0" collapsed="false">
      <c r="A6" s="5" t="s">
        <v>39</v>
      </c>
      <c r="B6" s="6" t="n">
        <v>0.11</v>
      </c>
      <c r="C6" s="6" t="n">
        <v>0.098</v>
      </c>
      <c r="D6" s="6" t="n">
        <v>0.095</v>
      </c>
      <c r="E6" s="6" t="n">
        <v>0.083</v>
      </c>
      <c r="F6" s="12"/>
      <c r="G6" s="6" t="n">
        <v>0.12</v>
      </c>
      <c r="H6" s="6" t="n">
        <v>0.15</v>
      </c>
      <c r="I6" s="6" t="n">
        <v>0.11</v>
      </c>
      <c r="J6" s="13" t="n">
        <f aca="false">Resumo!D6</f>
        <v>0.08</v>
      </c>
      <c r="K6" s="14" t="n">
        <f aca="false">E6-J6</f>
        <v>0.003</v>
      </c>
      <c r="L6" s="14" t="n">
        <f aca="false">E6-I6</f>
        <v>-0.027</v>
      </c>
      <c r="M6" s="9" t="str">
        <f aca="false">IF(E6&lt;G6,"Abaixo da meta",IF(E6&gt;H6,"Acima da meta","Na meta"))</f>
        <v>Abaixo da meta</v>
      </c>
    </row>
    <row r="7" customFormat="false" ht="15" hidden="false" customHeight="true" outlineLevel="0" collapsed="false">
      <c r="A7" s="5" t="s">
        <v>40</v>
      </c>
      <c r="B7" s="6" t="n">
        <v>0.12</v>
      </c>
      <c r="C7" s="6" t="n">
        <v>0.13</v>
      </c>
      <c r="D7" s="6" t="n">
        <v>0.074</v>
      </c>
      <c r="E7" s="6" t="n">
        <v>0.086</v>
      </c>
      <c r="F7" s="12"/>
      <c r="G7" s="6" t="n">
        <v>0.16</v>
      </c>
      <c r="H7" s="6" t="n">
        <v>0.19</v>
      </c>
      <c r="I7" s="6" t="n">
        <v>0.15</v>
      </c>
      <c r="J7" s="13" t="n">
        <f aca="false">Resumo!D7</f>
        <v>0.151</v>
      </c>
      <c r="K7" s="14" t="n">
        <f aca="false">E7-J7</f>
        <v>-0.065</v>
      </c>
      <c r="L7" s="14" t="n">
        <f aca="false">E7-I7</f>
        <v>-0.064</v>
      </c>
      <c r="M7" s="9" t="str">
        <f aca="false">IF(E7&lt;G7,"Abaixo da meta",IF(E7&gt;H7,"Acima da meta","Na meta"))</f>
        <v>Abaixo da meta</v>
      </c>
    </row>
    <row r="8" customFormat="false" ht="15" hidden="false" customHeight="true" outlineLevel="0" collapsed="false">
      <c r="A8" s="5" t="s">
        <v>41</v>
      </c>
      <c r="B8" s="6" t="n">
        <v>0.12</v>
      </c>
      <c r="C8" s="6" t="n">
        <v>0.12</v>
      </c>
      <c r="D8" s="6" t="n">
        <v>0.12</v>
      </c>
      <c r="E8" s="6" t="n">
        <v>0.11</v>
      </c>
      <c r="F8" s="12"/>
      <c r="G8" s="6" t="n">
        <v>0.13</v>
      </c>
      <c r="H8" s="6" t="n">
        <v>0.16</v>
      </c>
      <c r="I8" s="6" t="n">
        <v>0.13</v>
      </c>
      <c r="J8" s="13" t="n">
        <f aca="false">Resumo!D8</f>
        <v>0.116</v>
      </c>
      <c r="K8" s="14" t="n">
        <f aca="false">E8-J8</f>
        <v>-0.00600000000000001</v>
      </c>
      <c r="L8" s="14" t="n">
        <f aca="false">E8-I8</f>
        <v>-0.02</v>
      </c>
      <c r="M8" s="9" t="str">
        <f aca="false">IF(E8&lt;G8,"Abaixo da meta",IF(E8&gt;H8,"Acima da meta","Na meta"))</f>
        <v>Abaixo da meta</v>
      </c>
    </row>
    <row r="10" customFormat="false" ht="15" hidden="false" customHeight="true" outlineLevel="0" collapsed="false">
      <c r="A10" s="10" t="s">
        <v>42</v>
      </c>
    </row>
    <row r="11" customFormat="false" ht="15" hidden="false" customHeight="true" outlineLevel="0" collapsed="false">
      <c r="A11" s="4" t="s">
        <v>25</v>
      </c>
      <c r="B11" s="4" t="s">
        <v>26</v>
      </c>
      <c r="C11" s="4" t="s">
        <v>27</v>
      </c>
      <c r="D11" s="4" t="s">
        <v>28</v>
      </c>
      <c r="E11" s="4" t="s">
        <v>29</v>
      </c>
      <c r="F11" s="4" t="s">
        <v>30</v>
      </c>
    </row>
    <row r="12" customFormat="false" ht="15" hidden="false" customHeight="true" outlineLevel="0" collapsed="false">
      <c r="A12" s="5" t="s">
        <v>38</v>
      </c>
      <c r="B12" s="12"/>
      <c r="C12" s="12"/>
      <c r="D12" s="12"/>
      <c r="E12" s="12"/>
      <c r="F12" s="12"/>
    </row>
    <row r="13" customFormat="false" ht="15" hidden="false" customHeight="true" outlineLevel="0" collapsed="false">
      <c r="A13" s="5" t="s">
        <v>39</v>
      </c>
      <c r="B13" s="12"/>
      <c r="C13" s="12"/>
      <c r="D13" s="12"/>
      <c r="E13" s="12"/>
      <c r="F13" s="12"/>
    </row>
    <row r="14" customFormat="false" ht="15" hidden="false" customHeight="true" outlineLevel="0" collapsed="false">
      <c r="A14" s="5" t="s">
        <v>40</v>
      </c>
      <c r="B14" s="12"/>
      <c r="C14" s="12"/>
      <c r="D14" s="12"/>
      <c r="E14" s="12"/>
      <c r="F14" s="12"/>
    </row>
    <row r="15" customFormat="false" ht="15" hidden="false" customHeight="true" outlineLevel="0" collapsed="false">
      <c r="A15" s="5" t="s">
        <v>41</v>
      </c>
      <c r="B15" s="12"/>
      <c r="C15" s="12"/>
      <c r="D15" s="12"/>
      <c r="E15" s="12"/>
      <c r="F15" s="12"/>
    </row>
    <row r="17" customFormat="false" ht="15" hidden="false" customHeight="true" outlineLevel="0" collapsed="false">
      <c r="A17" s="10" t="s">
        <v>43</v>
      </c>
    </row>
    <row r="18" customFormat="false" ht="15" hidden="false" customHeight="true" outlineLevel="0" collapsed="false">
      <c r="A18" s="4" t="s">
        <v>25</v>
      </c>
      <c r="B18" s="4" t="s">
        <v>26</v>
      </c>
      <c r="C18" s="4" t="s">
        <v>27</v>
      </c>
      <c r="D18" s="4" t="s">
        <v>28</v>
      </c>
      <c r="E18" s="4" t="s">
        <v>29</v>
      </c>
      <c r="F18" s="4" t="s">
        <v>30</v>
      </c>
    </row>
    <row r="19" customFormat="false" ht="15" hidden="false" customHeight="true" outlineLevel="0" collapsed="false">
      <c r="A19" s="5" t="s">
        <v>38</v>
      </c>
      <c r="B19" s="7" t="str">
        <f aca="false">IF(AND(ISNUMBER(B5),ISNUMBER(B12)),B5+B12,"")</f>
        <v/>
      </c>
      <c r="C19" s="7" t="str">
        <f aca="false">IF(AND(ISNUMBER(C5),ISNUMBER(C12)),C5+C12,"")</f>
        <v/>
      </c>
      <c r="D19" s="7" t="str">
        <f aca="false">IF(AND(ISNUMBER(D5),ISNUMBER(D12)),D5+D12,"")</f>
        <v/>
      </c>
      <c r="E19" s="7" t="str">
        <f aca="false">IF(AND(ISNUMBER(E5),ISNUMBER(E12)),E5+E12,"")</f>
        <v/>
      </c>
      <c r="F19" s="7" t="str">
        <f aca="false">IF(AND(ISNUMBER(F5),ISNUMBER(F12)),F5+F12,"")</f>
        <v/>
      </c>
    </row>
    <row r="20" customFormat="false" ht="15" hidden="false" customHeight="true" outlineLevel="0" collapsed="false">
      <c r="A20" s="5" t="s">
        <v>39</v>
      </c>
      <c r="B20" s="7" t="str">
        <f aca="false">IF(AND(ISNUMBER(B6),ISNUMBER(B13)),B6+B13,"")</f>
        <v/>
      </c>
      <c r="C20" s="7" t="str">
        <f aca="false">IF(AND(ISNUMBER(C6),ISNUMBER(C13)),C6+C13,"")</f>
        <v/>
      </c>
      <c r="D20" s="7" t="str">
        <f aca="false">IF(AND(ISNUMBER(D6),ISNUMBER(D13)),D6+D13,"")</f>
        <v/>
      </c>
      <c r="E20" s="7" t="str">
        <f aca="false">IF(AND(ISNUMBER(E6),ISNUMBER(E13)),E6+E13,"")</f>
        <v/>
      </c>
      <c r="F20" s="7" t="str">
        <f aca="false">IF(AND(ISNUMBER(F6),ISNUMBER(F13)),F6+F13,"")</f>
        <v/>
      </c>
    </row>
    <row r="21" customFormat="false" ht="15" hidden="false" customHeight="true" outlineLevel="0" collapsed="false">
      <c r="A21" s="5" t="s">
        <v>40</v>
      </c>
      <c r="B21" s="7" t="str">
        <f aca="false">IF(AND(ISNUMBER(B7),ISNUMBER(B14)),B7+B14,"")</f>
        <v/>
      </c>
      <c r="C21" s="7" t="str">
        <f aca="false">IF(AND(ISNUMBER(C7),ISNUMBER(C14)),C7+C14,"")</f>
        <v/>
      </c>
      <c r="D21" s="7" t="str">
        <f aca="false">IF(AND(ISNUMBER(D7),ISNUMBER(D14)),D7+D14,"")</f>
        <v/>
      </c>
      <c r="E21" s="7" t="str">
        <f aca="false">IF(AND(ISNUMBER(E7),ISNUMBER(E14)),E7+E14,"")</f>
        <v/>
      </c>
      <c r="F21" s="7" t="str">
        <f aca="false">IF(AND(ISNUMBER(F7),ISNUMBER(F14)),F7+F14,"")</f>
        <v/>
      </c>
    </row>
    <row r="22" customFormat="false" ht="15" hidden="false" customHeight="true" outlineLevel="0" collapsed="false">
      <c r="A22" s="5" t="s">
        <v>41</v>
      </c>
      <c r="B22" s="7" t="str">
        <f aca="false">IF(AND(ISNUMBER(B8),ISNUMBER(B15)),B8+B15,"")</f>
        <v/>
      </c>
      <c r="C22" s="7" t="str">
        <f aca="false">IF(AND(ISNUMBER(C8),ISNUMBER(C15)),C8+C15,"")</f>
        <v/>
      </c>
      <c r="D22" s="7" t="str">
        <f aca="false">IF(AND(ISNUMBER(D8),ISNUMBER(D15)),D8+D15,"")</f>
        <v/>
      </c>
      <c r="E22" s="7" t="str">
        <f aca="false">IF(AND(ISNUMBER(E8),ISNUMBER(E15)),E8+E15,"")</f>
        <v/>
      </c>
      <c r="F22" s="7" t="str">
        <f aca="false">IF(AND(ISNUMBER(F8),ISNUMBER(F15)),F8+F15,"")</f>
        <v/>
      </c>
    </row>
    <row r="24" customFormat="false" ht="15" hidden="false" customHeight="true" outlineLevel="0" collapsed="false">
      <c r="A24" s="10" t="s">
        <v>44</v>
      </c>
    </row>
    <row r="25" customFormat="false" ht="15" hidden="false" customHeight="true" outlineLevel="0" collapsed="false">
      <c r="A25" s="11" t="s">
        <v>45</v>
      </c>
    </row>
    <row r="26" customFormat="false" ht="15" hidden="false" customHeight="true" outlineLevel="0" collapsed="false">
      <c r="A26" s="11" t="s">
        <v>46</v>
      </c>
    </row>
    <row r="27" customFormat="false" ht="15" hidden="false" customHeight="true" outlineLevel="0" collapsed="false">
      <c r="A27" s="11" t="s">
        <v>47</v>
      </c>
    </row>
    <row r="28" customFormat="false" ht="15" hidden="false" customHeight="true" outlineLevel="0" collapsed="false">
      <c r="A28" s="1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9" min="5" style="1" width="10"/>
  </cols>
  <sheetData>
    <row r="1" customFormat="false" ht="17.25" hidden="false" customHeight="true" outlineLevel="0" collapsed="false">
      <c r="A1" s="2" t="s">
        <v>49</v>
      </c>
    </row>
    <row r="2" customFormat="false" ht="15" hidden="false" customHeight="true" outlineLevel="0" collapsed="false">
      <c r="A2" s="3" t="s">
        <v>50</v>
      </c>
    </row>
    <row r="4" customFormat="false" ht="15" hidden="false" customHeight="true" outlineLevel="0" collapsed="false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</row>
    <row r="5" customFormat="false" ht="15" hidden="false" customHeight="true" outlineLevel="0" collapsed="false">
      <c r="A5" s="5" t="s">
        <v>60</v>
      </c>
      <c r="B5" s="15" t="n">
        <v>0.44</v>
      </c>
      <c r="C5" s="15" t="n">
        <v>0.27</v>
      </c>
      <c r="D5" s="15" t="n">
        <v>0.45</v>
      </c>
      <c r="E5" s="15" t="n">
        <v>0.38</v>
      </c>
      <c r="F5" s="15" t="n">
        <v>0.45</v>
      </c>
      <c r="G5" s="15" t="n">
        <v>0.55</v>
      </c>
      <c r="H5" s="15" t="n">
        <v>0.74</v>
      </c>
      <c r="I5" s="15" t="n">
        <v>0.26</v>
      </c>
    </row>
    <row r="6" customFormat="false" ht="15" hidden="false" customHeight="true" outlineLevel="0" collapsed="false">
      <c r="A6" s="5" t="s">
        <v>61</v>
      </c>
      <c r="B6" s="15" t="n">
        <v>0.09</v>
      </c>
      <c r="C6" s="15" t="n">
        <v>0.12</v>
      </c>
      <c r="D6" s="15" t="n">
        <v>0.12</v>
      </c>
      <c r="E6" s="15" t="n">
        <v>0.17</v>
      </c>
      <c r="F6" s="15" t="n">
        <v>0.11</v>
      </c>
      <c r="G6" s="15" t="n">
        <v>0.31</v>
      </c>
      <c r="H6" s="15" t="n">
        <v>0.18</v>
      </c>
      <c r="I6" s="15" t="n">
        <v>0.29</v>
      </c>
    </row>
    <row r="7" customFormat="false" ht="15" hidden="false" customHeight="true" outlineLevel="0" collapsed="false">
      <c r="A7" s="5" t="s">
        <v>62</v>
      </c>
      <c r="B7" s="15" t="n">
        <v>0.05</v>
      </c>
      <c r="C7" s="15" t="n">
        <v>0.01</v>
      </c>
      <c r="D7" s="15" t="n">
        <v>0.05</v>
      </c>
      <c r="E7" s="15" t="n">
        <v>0.03</v>
      </c>
      <c r="F7" s="15" t="n">
        <v>0.06</v>
      </c>
      <c r="G7" s="15" t="n">
        <v>0.07</v>
      </c>
      <c r="H7" s="15" t="n">
        <v>0.12</v>
      </c>
      <c r="I7" s="15" t="n">
        <v>0.05</v>
      </c>
    </row>
    <row r="9" customFormat="false" ht="15" hidden="false" customHeight="true" outlineLevel="0" collapsed="false">
      <c r="A9" s="10" t="s">
        <v>63</v>
      </c>
    </row>
    <row r="10" customFormat="false" ht="23.25" hidden="false" customHeight="true" outlineLevel="0" collapsed="false">
      <c r="A10" s="4" t="s">
        <v>2</v>
      </c>
      <c r="B10" s="4" t="s">
        <v>64</v>
      </c>
      <c r="C10" s="4" t="s">
        <v>65</v>
      </c>
      <c r="D10" s="4" t="s">
        <v>66</v>
      </c>
    </row>
    <row r="11" customFormat="false" ht="15" hidden="false" customHeight="true" outlineLevel="0" collapsed="false">
      <c r="A11" s="5" t="s">
        <v>11</v>
      </c>
      <c r="B11" s="16" t="n">
        <v>33</v>
      </c>
      <c r="C11" s="16" t="n">
        <v>14</v>
      </c>
      <c r="D11" s="8" t="n">
        <f aca="false">C11/B11</f>
        <v>0.424242424242424</v>
      </c>
    </row>
    <row r="12" customFormat="false" ht="15" hidden="false" customHeight="true" outlineLevel="0" collapsed="false">
      <c r="A12" s="5" t="s">
        <v>13</v>
      </c>
      <c r="B12" s="16" t="n">
        <v>41</v>
      </c>
      <c r="C12" s="16" t="n">
        <v>17</v>
      </c>
      <c r="D12" s="8" t="n">
        <f aca="false">C12/B12</f>
        <v>0.414634146341463</v>
      </c>
    </row>
    <row r="13" customFormat="false" ht="15" hidden="false" customHeight="true" outlineLevel="0" collapsed="false">
      <c r="A13" s="5" t="s">
        <v>14</v>
      </c>
      <c r="B13" s="16" t="n">
        <v>58</v>
      </c>
      <c r="C13" s="16" t="n">
        <v>19</v>
      </c>
      <c r="D13" s="8" t="n">
        <f aca="false">C13/B13</f>
        <v>0.327586206896552</v>
      </c>
    </row>
    <row r="14" customFormat="false" ht="15" hidden="false" customHeight="true" outlineLevel="0" collapsed="false">
      <c r="A14" s="5" t="s">
        <v>15</v>
      </c>
      <c r="B14" s="16" t="n">
        <v>65</v>
      </c>
      <c r="C14" s="16" t="n">
        <v>25</v>
      </c>
      <c r="D14" s="8" t="n">
        <f aca="false">C14/B14</f>
        <v>0.384615384615385</v>
      </c>
    </row>
    <row r="16" customFormat="false" ht="15" hidden="false" customHeight="true" outlineLevel="0" collapsed="false">
      <c r="A16" s="10" t="s">
        <v>67</v>
      </c>
    </row>
    <row r="17" customFormat="false" ht="15" hidden="false" customHeight="true" outlineLevel="0" collapsed="false">
      <c r="A17" s="11" t="s">
        <v>68</v>
      </c>
    </row>
    <row r="18" customFormat="false" ht="15" hidden="false" customHeight="true" outlineLevel="0" collapsed="false">
      <c r="A18" s="11" t="s">
        <v>69</v>
      </c>
    </row>
    <row r="19" customFormat="false" ht="15" hidden="false" customHeight="true" outlineLevel="0" collapsed="false">
      <c r="A19" s="11" t="s">
        <v>70</v>
      </c>
    </row>
    <row r="20" customFormat="false" ht="15" hidden="false" customHeight="true" outlineLevel="0" collapsed="false">
      <c r="A20" s="11" t="s">
        <v>71</v>
      </c>
    </row>
    <row r="21" customFormat="false" ht="15" hidden="false" customHeight="true" outlineLevel="0" collapsed="false">
      <c r="A21" s="11" t="s">
        <v>72</v>
      </c>
    </row>
    <row r="22" customFormat="false" ht="15" hidden="false" customHeight="true" outlineLevel="0" collapsed="false">
      <c r="A22" s="11" t="s">
        <v>73</v>
      </c>
    </row>
    <row r="24" customFormat="false" ht="15" hidden="false" customHeight="true" outlineLevel="0" collapsed="false">
      <c r="A24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7" min="2" style="1" width="11"/>
  </cols>
  <sheetData>
    <row r="1" customFormat="false" ht="17.25" hidden="false" customHeight="true" outlineLevel="0" collapsed="false">
      <c r="A1" s="2" t="s">
        <v>75</v>
      </c>
    </row>
    <row r="2" customFormat="false" ht="15" hidden="false" customHeight="true" outlineLevel="0" collapsed="false">
      <c r="A2" s="3" t="s">
        <v>76</v>
      </c>
    </row>
    <row r="4" customFormat="false" ht="23.25" hidden="false" customHeight="true" outlineLevel="0" collapsed="false">
      <c r="A4" s="4" t="s">
        <v>77</v>
      </c>
      <c r="B4" s="4" t="s">
        <v>52</v>
      </c>
      <c r="C4" s="4" t="s">
        <v>53</v>
      </c>
      <c r="D4" s="4" t="s">
        <v>78</v>
      </c>
      <c r="E4" s="4" t="s">
        <v>79</v>
      </c>
      <c r="F4" s="4" t="s">
        <v>54</v>
      </c>
      <c r="G4" s="4" t="s">
        <v>55</v>
      </c>
      <c r="H4" s="4" t="s">
        <v>80</v>
      </c>
      <c r="I4" s="4" t="s">
        <v>81</v>
      </c>
      <c r="J4" s="4" t="s">
        <v>56</v>
      </c>
      <c r="K4" s="4" t="s">
        <v>57</v>
      </c>
      <c r="L4" s="4" t="s">
        <v>82</v>
      </c>
      <c r="M4" s="4" t="s">
        <v>83</v>
      </c>
      <c r="N4" s="4" t="s">
        <v>58</v>
      </c>
      <c r="O4" s="4" t="s">
        <v>59</v>
      </c>
      <c r="P4" s="4" t="s">
        <v>84</v>
      </c>
      <c r="Q4" s="4" t="s">
        <v>85</v>
      </c>
    </row>
    <row r="5" customFormat="false" ht="15" hidden="false" customHeight="true" outlineLevel="0" collapsed="false">
      <c r="A5" s="5" t="s">
        <v>86</v>
      </c>
      <c r="B5" s="15" t="n">
        <v>1</v>
      </c>
      <c r="C5" s="15" t="n">
        <v>0</v>
      </c>
      <c r="D5" s="8" t="n">
        <f aca="false">B5+C5</f>
        <v>1</v>
      </c>
      <c r="E5" s="9" t="str">
        <f aca="false">IF(D5&lt;0.2,"Fold",IF(AND(B5&gt;=0.2,C5&gt;=0.2),"3bet/call",IF(B5&gt;=C5,"3bet","Call")))</f>
        <v>3bet</v>
      </c>
      <c r="F5" s="15" t="n">
        <v>0.94</v>
      </c>
      <c r="G5" s="15" t="n">
        <v>0.06</v>
      </c>
      <c r="H5" s="8" t="n">
        <f aca="false">F5+G5</f>
        <v>1</v>
      </c>
      <c r="I5" s="9" t="str">
        <f aca="false">IF(H5&lt;0.2,"Fold",IF(AND(F5&gt;=0.2,G5&gt;=0.2),"3bet/call",IF(F5&gt;=G5,"3bet","Call")))</f>
        <v>3bet</v>
      </c>
      <c r="J5" s="15" t="n">
        <v>1</v>
      </c>
      <c r="K5" s="15" t="n">
        <v>0</v>
      </c>
      <c r="L5" s="8" t="n">
        <f aca="false">J5+K5</f>
        <v>1</v>
      </c>
      <c r="M5" s="9" t="str">
        <f aca="false">IF(L5&lt;0.2,"Fold",IF(AND(J5&gt;=0.2,K5&gt;=0.2),"3bet/call",IF(J5&gt;=K5,"3bet","Call")))</f>
        <v>3bet</v>
      </c>
      <c r="N5" s="15" t="n">
        <v>1</v>
      </c>
      <c r="O5" s="15" t="n">
        <v>0</v>
      </c>
      <c r="P5" s="8" t="n">
        <f aca="false">N5+O5</f>
        <v>1</v>
      </c>
      <c r="Q5" s="9" t="str">
        <f aca="false">IF(P5&lt;0.2,"Fold",IF(AND(N5&gt;=0.2,O5&gt;=0.2),"3bet/call",IF(N5&gt;=O5,"3bet","Call")))</f>
        <v>3bet</v>
      </c>
    </row>
    <row r="6" customFormat="false" ht="15" hidden="false" customHeight="true" outlineLevel="0" collapsed="false">
      <c r="A6" s="5" t="s">
        <v>87</v>
      </c>
      <c r="B6" s="15" t="n">
        <v>1</v>
      </c>
      <c r="C6" s="15" t="n">
        <v>0</v>
      </c>
      <c r="D6" s="8" t="n">
        <f aca="false">B6+C6</f>
        <v>1</v>
      </c>
      <c r="E6" s="9" t="str">
        <f aca="false">IF(D6&lt;0.2,"Fold",IF(AND(B6&gt;=0.2,C6&gt;=0.2),"3bet/call",IF(B6&gt;=C6,"3bet","Call")))</f>
        <v>3bet</v>
      </c>
      <c r="F6" s="15" t="n">
        <v>1</v>
      </c>
      <c r="G6" s="15" t="n">
        <v>0</v>
      </c>
      <c r="H6" s="8" t="n">
        <f aca="false">F6+G6</f>
        <v>1</v>
      </c>
      <c r="I6" s="9" t="str">
        <f aca="false">IF(H6&lt;0.2,"Fold",IF(AND(F6&gt;=0.2,G6&gt;=0.2),"3bet/call",IF(F6&gt;=G6,"3bet","Call")))</f>
        <v>3bet</v>
      </c>
      <c r="J6" s="15" t="n">
        <v>1</v>
      </c>
      <c r="K6" s="15" t="n">
        <v>0</v>
      </c>
      <c r="L6" s="8" t="n">
        <f aca="false">J6+K6</f>
        <v>1</v>
      </c>
      <c r="M6" s="9" t="str">
        <f aca="false">IF(L6&lt;0.2,"Fold",IF(AND(J6&gt;=0.2,K6&gt;=0.2),"3bet/call",IF(J6&gt;=K6,"3bet","Call")))</f>
        <v>3bet</v>
      </c>
      <c r="N6" s="15" t="n">
        <v>1</v>
      </c>
      <c r="O6" s="15" t="n">
        <v>0</v>
      </c>
      <c r="P6" s="8" t="n">
        <f aca="false">N6+O6</f>
        <v>1</v>
      </c>
      <c r="Q6" s="9" t="str">
        <f aca="false">IF(P6&lt;0.2,"Fold",IF(AND(N6&gt;=0.2,O6&gt;=0.2),"3bet/call",IF(N6&gt;=O6,"3bet","Call")))</f>
        <v>3bet</v>
      </c>
    </row>
    <row r="7" customFormat="false" ht="15" hidden="false" customHeight="true" outlineLevel="0" collapsed="false">
      <c r="A7" s="5" t="s">
        <v>88</v>
      </c>
      <c r="B7" s="15" t="n">
        <v>0</v>
      </c>
      <c r="C7" s="15" t="n">
        <v>1</v>
      </c>
      <c r="D7" s="8" t="n">
        <f aca="false">B7+C7</f>
        <v>1</v>
      </c>
      <c r="E7" s="9" t="str">
        <f aca="false">IF(D7&lt;0.2,"Fold",IF(AND(B7&gt;=0.2,C7&gt;=0.2),"3bet/call",IF(B7&gt;=C7,"3bet","Call")))</f>
        <v>Call</v>
      </c>
      <c r="F7" s="15" t="n">
        <v>0.75</v>
      </c>
      <c r="G7" s="15" t="n">
        <v>0.25</v>
      </c>
      <c r="H7" s="8" t="n">
        <f aca="false">F7+G7</f>
        <v>1</v>
      </c>
      <c r="I7" s="9" t="str">
        <f aca="false">IF(H7&lt;0.2,"Fold",IF(AND(F7&gt;=0.2,G7&gt;=0.2),"3bet/call",IF(F7&gt;=G7,"3bet","Call")))</f>
        <v>3bet/call</v>
      </c>
      <c r="J7" s="15" t="n">
        <v>1</v>
      </c>
      <c r="K7" s="15" t="n">
        <v>0</v>
      </c>
      <c r="L7" s="8" t="n">
        <f aca="false">J7+K7</f>
        <v>1</v>
      </c>
      <c r="M7" s="9" t="str">
        <f aca="false">IF(L7&lt;0.2,"Fold",IF(AND(J7&gt;=0.2,K7&gt;=0.2),"3bet/call",IF(J7&gt;=K7,"3bet","Call")))</f>
        <v>3bet</v>
      </c>
      <c r="N7" s="15" t="n">
        <v>1</v>
      </c>
      <c r="O7" s="15" t="n">
        <v>0</v>
      </c>
      <c r="P7" s="8" t="n">
        <f aca="false">N7+O7</f>
        <v>1</v>
      </c>
      <c r="Q7" s="9" t="str">
        <f aca="false">IF(P7&lt;0.2,"Fold",IF(AND(N7&gt;=0.2,O7&gt;=0.2),"3bet/call",IF(N7&gt;=O7,"3bet","Call")))</f>
        <v>3bet</v>
      </c>
    </row>
    <row r="8" customFormat="false" ht="15" hidden="false" customHeight="true" outlineLevel="0" collapsed="false">
      <c r="A8" s="5" t="s">
        <v>89</v>
      </c>
      <c r="B8" s="15" t="n">
        <v>0</v>
      </c>
      <c r="C8" s="15" t="n">
        <v>1</v>
      </c>
      <c r="D8" s="8" t="n">
        <f aca="false">B8+C8</f>
        <v>1</v>
      </c>
      <c r="E8" s="9" t="str">
        <f aca="false">IF(D8&lt;0.2,"Fold",IF(AND(B8&gt;=0.2,C8&gt;=0.2),"3bet/call",IF(B8&gt;=C8,"3bet","Call")))</f>
        <v>Call</v>
      </c>
      <c r="F8" s="15" t="n">
        <v>0</v>
      </c>
      <c r="G8" s="15" t="n">
        <v>1</v>
      </c>
      <c r="H8" s="8" t="n">
        <f aca="false">F8+G8</f>
        <v>1</v>
      </c>
      <c r="I8" s="9" t="str">
        <f aca="false">IF(H8&lt;0.2,"Fold",IF(AND(F8&gt;=0.2,G8&gt;=0.2),"3bet/call",IF(F8&gt;=G8,"3bet","Call")))</f>
        <v>Call</v>
      </c>
      <c r="J8" s="15" t="n">
        <v>0</v>
      </c>
      <c r="K8" s="15" t="n">
        <v>1</v>
      </c>
      <c r="L8" s="8" t="n">
        <f aca="false">J8+K8</f>
        <v>1</v>
      </c>
      <c r="M8" s="9" t="str">
        <f aca="false">IF(L8&lt;0.2,"Fold",IF(AND(J8&gt;=0.2,K8&gt;=0.2),"3bet/call",IF(J8&gt;=K8,"3bet","Call")))</f>
        <v>Call</v>
      </c>
      <c r="N8" s="15" t="n">
        <v>1</v>
      </c>
      <c r="O8" s="15" t="n">
        <v>0</v>
      </c>
      <c r="P8" s="8" t="n">
        <f aca="false">N8+O8</f>
        <v>1</v>
      </c>
      <c r="Q8" s="9" t="str">
        <f aca="false">IF(P8&lt;0.2,"Fold",IF(AND(N8&gt;=0.2,O8&gt;=0.2),"3bet/call",IF(N8&gt;=O8,"3bet","Call")))</f>
        <v>3bet</v>
      </c>
    </row>
    <row r="9" customFormat="false" ht="15" hidden="false" customHeight="true" outlineLevel="0" collapsed="false">
      <c r="A9" s="5" t="s">
        <v>90</v>
      </c>
      <c r="B9" s="15" t="n">
        <v>0</v>
      </c>
      <c r="C9" s="15" t="n">
        <v>1</v>
      </c>
      <c r="D9" s="8" t="n">
        <f aca="false">B9+C9</f>
        <v>1</v>
      </c>
      <c r="E9" s="9" t="str">
        <f aca="false">IF(D9&lt;0.2,"Fold",IF(AND(B9&gt;=0.2,C9&gt;=0.2),"3bet/call",IF(B9&gt;=C9,"3bet","Call")))</f>
        <v>Call</v>
      </c>
      <c r="F9" s="15" t="n">
        <v>0</v>
      </c>
      <c r="G9" s="15" t="n">
        <v>1</v>
      </c>
      <c r="H9" s="8" t="n">
        <f aca="false">F9+G9</f>
        <v>1</v>
      </c>
      <c r="I9" s="9" t="str">
        <f aca="false">IF(H9&lt;0.2,"Fold",IF(AND(F9&gt;=0.2,G9&gt;=0.2),"3bet/call",IF(F9&gt;=G9,"3bet","Call")))</f>
        <v>Call</v>
      </c>
      <c r="J9" s="15" t="n">
        <v>0</v>
      </c>
      <c r="K9" s="15" t="n">
        <v>1</v>
      </c>
      <c r="L9" s="8" t="n">
        <f aca="false">J9+K9</f>
        <v>1</v>
      </c>
      <c r="M9" s="9" t="str">
        <f aca="false">IF(L9&lt;0.2,"Fold",IF(AND(J9&gt;=0.2,K9&gt;=0.2),"3bet/call",IF(J9&gt;=K9,"3bet","Call")))</f>
        <v>Call</v>
      </c>
      <c r="N9" s="15" t="n">
        <v>1</v>
      </c>
      <c r="O9" s="15" t="n">
        <v>0</v>
      </c>
      <c r="P9" s="8" t="n">
        <f aca="false">N9+O9</f>
        <v>1</v>
      </c>
      <c r="Q9" s="9" t="str">
        <f aca="false">IF(P9&lt;0.2,"Fold",IF(AND(N9&gt;=0.2,O9&gt;=0.2),"3bet/call",IF(N9&gt;=O9,"3bet","Call")))</f>
        <v>3bet</v>
      </c>
    </row>
    <row r="10" customFormat="false" ht="15" hidden="false" customHeight="true" outlineLevel="0" collapsed="false">
      <c r="A10" s="5" t="s">
        <v>91</v>
      </c>
      <c r="B10" s="15" t="n">
        <v>0.45</v>
      </c>
      <c r="C10" s="15" t="n">
        <v>0.55</v>
      </c>
      <c r="D10" s="8" t="n">
        <f aca="false">B10+C10</f>
        <v>1</v>
      </c>
      <c r="E10" s="9" t="str">
        <f aca="false">IF(D10&lt;0.2,"Fold",IF(AND(B10&gt;=0.2,C10&gt;=0.2),"3bet/call",IF(B10&gt;=C10,"3bet","Call")))</f>
        <v>3bet/call</v>
      </c>
      <c r="F10" s="15" t="n">
        <v>0.25</v>
      </c>
      <c r="G10" s="15" t="n">
        <v>0.75</v>
      </c>
      <c r="H10" s="8" t="n">
        <f aca="false">F10+G10</f>
        <v>1</v>
      </c>
      <c r="I10" s="9" t="str">
        <f aca="false">IF(H10&lt;0.2,"Fold",IF(AND(F10&gt;=0.2,G10&gt;=0.2),"3bet/call",IF(F10&gt;=G10,"3bet","Call")))</f>
        <v>3bet/call</v>
      </c>
      <c r="J10" s="15" t="n">
        <v>0</v>
      </c>
      <c r="K10" s="15" t="n">
        <v>1</v>
      </c>
      <c r="L10" s="8" t="n">
        <f aca="false">J10+K10</f>
        <v>1</v>
      </c>
      <c r="M10" s="9" t="str">
        <f aca="false">IF(L10&lt;0.2,"Fold",IF(AND(J10&gt;=0.2,K10&gt;=0.2),"3bet/call",IF(J10&gt;=K10,"3bet","Call")))</f>
        <v>Call</v>
      </c>
      <c r="N10" s="15" t="n">
        <v>0</v>
      </c>
      <c r="O10" s="15" t="n">
        <v>1</v>
      </c>
      <c r="P10" s="8" t="n">
        <f aca="false">N10+O10</f>
        <v>1</v>
      </c>
      <c r="Q10" s="9" t="str">
        <f aca="false">IF(P10&lt;0.2,"Fold",IF(AND(N10&gt;=0.2,O10&gt;=0.2),"3bet/call",IF(N10&gt;=O10,"3bet","Call")))</f>
        <v>Call</v>
      </c>
    </row>
    <row r="11" customFormat="false" ht="15" hidden="false" customHeight="true" outlineLevel="0" collapsed="false">
      <c r="A11" s="5" t="s">
        <v>92</v>
      </c>
      <c r="B11" s="15" t="n">
        <v>0.75</v>
      </c>
      <c r="C11" s="15" t="n">
        <v>0.25</v>
      </c>
      <c r="D11" s="8" t="n">
        <f aca="false">B11+C11</f>
        <v>1</v>
      </c>
      <c r="E11" s="9" t="str">
        <f aca="false">IF(D11&lt;0.2,"Fold",IF(AND(B11&gt;=0.2,C11&gt;=0.2),"3bet/call",IF(B11&gt;=C11,"3bet","Call")))</f>
        <v>3bet/call</v>
      </c>
      <c r="F11" s="15" t="n">
        <v>0.35</v>
      </c>
      <c r="G11" s="15" t="n">
        <v>0.65</v>
      </c>
      <c r="H11" s="8" t="n">
        <f aca="false">F11+G11</f>
        <v>1</v>
      </c>
      <c r="I11" s="9" t="str">
        <f aca="false">IF(H11&lt;0.2,"Fold",IF(AND(F11&gt;=0.2,G11&gt;=0.2),"3bet/call",IF(F11&gt;=G11,"3bet","Call")))</f>
        <v>3bet/call</v>
      </c>
      <c r="J11" s="15" t="n">
        <v>0</v>
      </c>
      <c r="K11" s="15" t="n">
        <v>1</v>
      </c>
      <c r="L11" s="8" t="n">
        <f aca="false">J11+K11</f>
        <v>1</v>
      </c>
      <c r="M11" s="9" t="str">
        <f aca="false">IF(L11&lt;0.2,"Fold",IF(AND(J11&gt;=0.2,K11&gt;=0.2),"3bet/call",IF(J11&gt;=K11,"3bet","Call")))</f>
        <v>Call</v>
      </c>
      <c r="N11" s="15" t="n">
        <v>0</v>
      </c>
      <c r="O11" s="15" t="n">
        <v>1</v>
      </c>
      <c r="P11" s="8" t="n">
        <f aca="false">N11+O11</f>
        <v>1</v>
      </c>
      <c r="Q11" s="9" t="str">
        <f aca="false">IF(P11&lt;0.2,"Fold",IF(AND(N11&gt;=0.2,O11&gt;=0.2),"3bet/call",IF(N11&gt;=O11,"3bet","Call")))</f>
        <v>Call</v>
      </c>
    </row>
    <row r="12" customFormat="false" ht="15" hidden="false" customHeight="true" outlineLevel="0" collapsed="false">
      <c r="A12" s="5" t="s">
        <v>93</v>
      </c>
      <c r="B12" s="15" t="n">
        <v>0.1</v>
      </c>
      <c r="C12" s="15" t="n">
        <v>0</v>
      </c>
      <c r="D12" s="8" t="n">
        <f aca="false">B12+C12</f>
        <v>0.1</v>
      </c>
      <c r="E12" s="9" t="str">
        <f aca="false">IF(D12&lt;0.2,"Fold",IF(AND(B12&gt;=0.2,C12&gt;=0.2),"3bet/call",IF(B12&gt;=C12,"3bet","Call")))</f>
        <v>Fold</v>
      </c>
      <c r="F12" s="15" t="n">
        <v>0.6</v>
      </c>
      <c r="G12" s="15" t="n">
        <v>0.4</v>
      </c>
      <c r="H12" s="8" t="n">
        <f aca="false">F12+G12</f>
        <v>1</v>
      </c>
      <c r="I12" s="9" t="str">
        <f aca="false">IF(H12&lt;0.2,"Fold",IF(AND(F12&gt;=0.2,G12&gt;=0.2),"3bet/call",IF(F12&gt;=G12,"3bet","Call")))</f>
        <v>3bet/call</v>
      </c>
      <c r="J12" s="15" t="n">
        <v>0</v>
      </c>
      <c r="K12" s="15" t="n">
        <v>1</v>
      </c>
      <c r="L12" s="8" t="n">
        <f aca="false">J12+K12</f>
        <v>1</v>
      </c>
      <c r="M12" s="9" t="str">
        <f aca="false">IF(L12&lt;0.2,"Fold",IF(AND(J12&gt;=0.2,K12&gt;=0.2),"3bet/call",IF(J12&gt;=K12,"3bet","Call")))</f>
        <v>Call</v>
      </c>
      <c r="N12" s="15" t="n">
        <v>0</v>
      </c>
      <c r="O12" s="15" t="n">
        <v>1</v>
      </c>
      <c r="P12" s="8" t="n">
        <f aca="false">N12+O12</f>
        <v>1</v>
      </c>
      <c r="Q12" s="9" t="str">
        <f aca="false">IF(P12&lt;0.2,"Fold",IF(AND(N12&gt;=0.2,O12&gt;=0.2),"3bet/call",IF(N12&gt;=O12,"3bet","Call")))</f>
        <v>Call</v>
      </c>
    </row>
    <row r="13" customFormat="false" ht="15" hidden="false" customHeight="true" outlineLevel="0" collapsed="false">
      <c r="A13" s="5" t="s">
        <v>94</v>
      </c>
      <c r="B13" s="15" t="n">
        <v>0.6</v>
      </c>
      <c r="C13" s="15" t="n">
        <v>0</v>
      </c>
      <c r="D13" s="8" t="n">
        <f aca="false">B13+C13</f>
        <v>0.6</v>
      </c>
      <c r="E13" s="9" t="str">
        <f aca="false">IF(D13&lt;0.2,"Fold",IF(AND(B13&gt;=0.2,C13&gt;=0.2),"3bet/call",IF(B13&gt;=C13,"3bet","Call")))</f>
        <v>3bet</v>
      </c>
      <c r="F13" s="15" t="n">
        <v>0.95</v>
      </c>
      <c r="G13" s="15" t="n">
        <v>0.05</v>
      </c>
      <c r="H13" s="8" t="n">
        <f aca="false">F13+G13</f>
        <v>1</v>
      </c>
      <c r="I13" s="9" t="str">
        <f aca="false">IF(H13&lt;0.2,"Fold",IF(AND(F13&gt;=0.2,G13&gt;=0.2),"3bet/call",IF(F13&gt;=G13,"3bet","Call")))</f>
        <v>3bet</v>
      </c>
      <c r="J13" s="15" t="n">
        <v>0.25</v>
      </c>
      <c r="K13" s="15" t="n">
        <v>0.75</v>
      </c>
      <c r="L13" s="8" t="n">
        <f aca="false">J13+K13</f>
        <v>1</v>
      </c>
      <c r="M13" s="9" t="str">
        <f aca="false">IF(L13&lt;0.2,"Fold",IF(AND(J13&gt;=0.2,K13&gt;=0.2),"3bet/call",IF(J13&gt;=K13,"3bet","Call")))</f>
        <v>3bet/call</v>
      </c>
      <c r="N13" s="15" t="n">
        <v>0.25</v>
      </c>
      <c r="O13" s="15" t="n">
        <v>0.75</v>
      </c>
      <c r="P13" s="8" t="n">
        <f aca="false">N13+O13</f>
        <v>1</v>
      </c>
      <c r="Q13" s="9" t="str">
        <f aca="false">IF(P13&lt;0.2,"Fold",IF(AND(N13&gt;=0.2,O13&gt;=0.2),"3bet/call",IF(N13&gt;=O13,"3bet","Call")))</f>
        <v>3bet/call</v>
      </c>
    </row>
    <row r="14" customFormat="false" ht="15" hidden="false" customHeight="true" outlineLevel="0" collapsed="false">
      <c r="A14" s="5" t="s">
        <v>95</v>
      </c>
      <c r="B14" s="15" t="n">
        <v>0.6</v>
      </c>
      <c r="C14" s="15" t="n">
        <v>0.4</v>
      </c>
      <c r="D14" s="8" t="n">
        <f aca="false">B14+C14</f>
        <v>1</v>
      </c>
      <c r="E14" s="9" t="str">
        <f aca="false">IF(D14&lt;0.2,"Fold",IF(AND(B14&gt;=0.2,C14&gt;=0.2),"3bet/call",IF(B14&gt;=C14,"3bet","Call")))</f>
        <v>3bet/call</v>
      </c>
      <c r="F14" s="15" t="n">
        <v>0.45</v>
      </c>
      <c r="G14" s="15" t="n">
        <v>0.55</v>
      </c>
      <c r="H14" s="8" t="n">
        <f aca="false">F14+G14</f>
        <v>1</v>
      </c>
      <c r="I14" s="9" t="str">
        <f aca="false">IF(H14&lt;0.2,"Fold",IF(AND(F14&gt;=0.2,G14&gt;=0.2),"3bet/call",IF(F14&gt;=G14,"3bet","Call")))</f>
        <v>3bet/call</v>
      </c>
      <c r="J14" s="15" t="n">
        <v>0</v>
      </c>
      <c r="K14" s="15" t="n">
        <v>1</v>
      </c>
      <c r="L14" s="8" t="n">
        <f aca="false">J14+K14</f>
        <v>1</v>
      </c>
      <c r="M14" s="9" t="str">
        <f aca="false">IF(L14&lt;0.2,"Fold",IF(AND(J14&gt;=0.2,K14&gt;=0.2),"3bet/call",IF(J14&gt;=K14,"3bet","Call")))</f>
        <v>Call</v>
      </c>
      <c r="N14" s="15" t="n">
        <v>0.35</v>
      </c>
      <c r="O14" s="15" t="n">
        <v>0.65</v>
      </c>
      <c r="P14" s="8" t="n">
        <f aca="false">N14+O14</f>
        <v>1</v>
      </c>
      <c r="Q14" s="9" t="str">
        <f aca="false">IF(P14&lt;0.2,"Fold",IF(AND(N14&gt;=0.2,O14&gt;=0.2),"3bet/call",IF(N14&gt;=O14,"3bet","Call")))</f>
        <v>3bet/call</v>
      </c>
    </row>
    <row r="15" customFormat="false" ht="15" hidden="false" customHeight="true" outlineLevel="0" collapsed="false">
      <c r="A15" s="5" t="s">
        <v>96</v>
      </c>
      <c r="B15" s="15" t="n">
        <v>0</v>
      </c>
      <c r="C15" s="15" t="n">
        <v>0.2</v>
      </c>
      <c r="D15" s="8" t="n">
        <f aca="false">B15+C15</f>
        <v>0.2</v>
      </c>
      <c r="E15" s="9" t="str">
        <f aca="false">IF(D15&lt;0.2,"Fold",IF(AND(B15&gt;=0.2,C15&gt;=0.2),"3bet/call",IF(B15&gt;=C15,"3bet","Call")))</f>
        <v>Call</v>
      </c>
      <c r="F15" s="15" t="n">
        <v>0.45</v>
      </c>
      <c r="G15" s="15" t="n">
        <v>0.55</v>
      </c>
      <c r="H15" s="8" t="n">
        <f aca="false">F15+G15</f>
        <v>1</v>
      </c>
      <c r="I15" s="9" t="str">
        <f aca="false">IF(H15&lt;0.2,"Fold",IF(AND(F15&gt;=0.2,G15&gt;=0.2),"3bet/call",IF(F15&gt;=G15,"3bet","Call")))</f>
        <v>3bet/call</v>
      </c>
      <c r="J15" s="15" t="n">
        <v>0.25</v>
      </c>
      <c r="K15" s="15" t="n">
        <v>0.75</v>
      </c>
      <c r="L15" s="8" t="n">
        <f aca="false">J15+K15</f>
        <v>1</v>
      </c>
      <c r="M15" s="9" t="str">
        <f aca="false">IF(L15&lt;0.2,"Fold",IF(AND(J15&gt;=0.2,K15&gt;=0.2),"3bet/call",IF(J15&gt;=K15,"3bet","Call")))</f>
        <v>3bet/call</v>
      </c>
      <c r="N15" s="15" t="n">
        <v>0</v>
      </c>
      <c r="O15" s="15" t="n">
        <v>1</v>
      </c>
      <c r="P15" s="8" t="n">
        <f aca="false">N15+O15</f>
        <v>1</v>
      </c>
      <c r="Q15" s="9" t="str">
        <f aca="false">IF(P15&lt;0.2,"Fold",IF(AND(N15&gt;=0.2,O15&gt;=0.2),"3bet/call",IF(N15&gt;=O15,"3bet","Call")))</f>
        <v>Call</v>
      </c>
    </row>
    <row r="16" customFormat="false" ht="15" hidden="false" customHeight="true" outlineLevel="0" collapsed="false">
      <c r="A16" s="5" t="s">
        <v>97</v>
      </c>
      <c r="B16" s="15" t="n">
        <v>0</v>
      </c>
      <c r="C16" s="15" t="n">
        <v>0</v>
      </c>
      <c r="D16" s="8" t="n">
        <f aca="false">B16+C16</f>
        <v>0</v>
      </c>
      <c r="E16" s="9" t="str">
        <f aca="false">IF(D16&lt;0.2,"Fold",IF(AND(B16&gt;=0.2,C16&gt;=0.2),"3bet/call",IF(B16&gt;=C16,"3bet","Call")))</f>
        <v>Fold</v>
      </c>
      <c r="F16" s="15" t="n">
        <v>0</v>
      </c>
      <c r="G16" s="15" t="n">
        <v>0.3</v>
      </c>
      <c r="H16" s="8" t="n">
        <f aca="false">F16+G16</f>
        <v>0.3</v>
      </c>
      <c r="I16" s="9" t="str">
        <f aca="false">IF(H16&lt;0.2,"Fold",IF(AND(F16&gt;=0.2,G16&gt;=0.2),"3bet/call",IF(F16&gt;=G16,"3bet","Call")))</f>
        <v>Call</v>
      </c>
      <c r="J16" s="15" t="n">
        <v>0.6</v>
      </c>
      <c r="K16" s="15" t="n">
        <v>0.4</v>
      </c>
      <c r="L16" s="8" t="n">
        <f aca="false">J16+K16</f>
        <v>1</v>
      </c>
      <c r="M16" s="9" t="str">
        <f aca="false">IF(L16&lt;0.2,"Fold",IF(AND(J16&gt;=0.2,K16&gt;=0.2),"3bet/call",IF(J16&gt;=K16,"3bet","Call")))</f>
        <v>3bet/call</v>
      </c>
      <c r="N16" s="15" t="n">
        <v>0.25</v>
      </c>
      <c r="O16" s="15" t="n">
        <v>0.75</v>
      </c>
      <c r="P16" s="8" t="n">
        <f aca="false">N16+O16</f>
        <v>1</v>
      </c>
      <c r="Q16" s="9" t="str">
        <f aca="false">IF(P16&lt;0.2,"Fold",IF(AND(N16&gt;=0.2,O16&gt;=0.2),"3bet/call",IF(N16&gt;=O16,"3bet","Call")))</f>
        <v>3bet/call</v>
      </c>
    </row>
    <row r="17" customFormat="false" ht="15" hidden="false" customHeight="true" outlineLevel="0" collapsed="false">
      <c r="A17" s="5" t="s">
        <v>98</v>
      </c>
      <c r="B17" s="15" t="n">
        <v>0</v>
      </c>
      <c r="C17" s="15" t="n">
        <v>0</v>
      </c>
      <c r="D17" s="8" t="n">
        <f aca="false">B17+C17</f>
        <v>0</v>
      </c>
      <c r="E17" s="9" t="str">
        <f aca="false">IF(D17&lt;0.2,"Fold",IF(AND(B17&gt;=0.2,C17&gt;=0.2),"3bet/call",IF(B17&gt;=C17,"3bet","Call")))</f>
        <v>Fold</v>
      </c>
      <c r="F17" s="15" t="n">
        <v>0</v>
      </c>
      <c r="G17" s="15" t="n">
        <v>0</v>
      </c>
      <c r="H17" s="8" t="n">
        <f aca="false">F17+G17</f>
        <v>0</v>
      </c>
      <c r="I17" s="9" t="str">
        <f aca="false">IF(H17&lt;0.2,"Fold",IF(AND(F17&gt;=0.2,G17&gt;=0.2),"3bet/call",IF(F17&gt;=G17,"3bet","Call")))</f>
        <v>Fold</v>
      </c>
      <c r="J17" s="15" t="n">
        <v>0.7</v>
      </c>
      <c r="K17" s="15" t="n">
        <v>0.3</v>
      </c>
      <c r="L17" s="8" t="n">
        <f aca="false">J17+K17</f>
        <v>1</v>
      </c>
      <c r="M17" s="9" t="str">
        <f aca="false">IF(L17&lt;0.2,"Fold",IF(AND(J17&gt;=0.2,K17&gt;=0.2),"3bet/call",IF(J17&gt;=K17,"3bet","Call")))</f>
        <v>3bet/call</v>
      </c>
      <c r="N17" s="15" t="n">
        <v>0.6</v>
      </c>
      <c r="O17" s="15" t="n">
        <v>0.4</v>
      </c>
      <c r="P17" s="8" t="n">
        <f aca="false">N17+O17</f>
        <v>1</v>
      </c>
      <c r="Q17" s="9" t="str">
        <f aca="false">IF(P17&lt;0.2,"Fold",IF(AND(N17&gt;=0.2,O17&gt;=0.2),"3bet/call",IF(N17&gt;=O17,"3bet","Call")))</f>
        <v>3bet/call</v>
      </c>
    </row>
    <row r="18" customFormat="false" ht="15" hidden="false" customHeight="true" outlineLevel="0" collapsed="false">
      <c r="A18" s="5" t="s">
        <v>99</v>
      </c>
      <c r="B18" s="15" t="n">
        <v>0.9</v>
      </c>
      <c r="C18" s="15" t="n">
        <v>0.1</v>
      </c>
      <c r="D18" s="8" t="n">
        <f aca="false">B18+C18</f>
        <v>1</v>
      </c>
      <c r="E18" s="9" t="str">
        <f aca="false">IF(D18&lt;0.2,"Fold",IF(AND(B18&gt;=0.2,C18&gt;=0.2),"3bet/call",IF(B18&gt;=C18,"3bet","Call")))</f>
        <v>3bet</v>
      </c>
      <c r="F18" s="15" t="n">
        <v>1</v>
      </c>
      <c r="G18" s="15" t="n">
        <v>0</v>
      </c>
      <c r="H18" s="8" t="n">
        <f aca="false">F18+G18</f>
        <v>1</v>
      </c>
      <c r="I18" s="9" t="str">
        <f aca="false">IF(H18&lt;0.2,"Fold",IF(AND(F18&gt;=0.2,G18&gt;=0.2),"3bet/call",IF(F18&gt;=G18,"3bet","Call")))</f>
        <v>3bet</v>
      </c>
      <c r="J18" s="15" t="n">
        <v>1</v>
      </c>
      <c r="K18" s="15" t="n">
        <v>0</v>
      </c>
      <c r="L18" s="8" t="n">
        <f aca="false">J18+K18</f>
        <v>1</v>
      </c>
      <c r="M18" s="9" t="str">
        <f aca="false">IF(L18&lt;0.2,"Fold",IF(AND(J18&gt;=0.2,K18&gt;=0.2),"3bet/call",IF(J18&gt;=K18,"3bet","Call")))</f>
        <v>3bet</v>
      </c>
      <c r="N18" s="15" t="n">
        <v>1</v>
      </c>
      <c r="O18" s="15" t="n">
        <v>0</v>
      </c>
      <c r="P18" s="8" t="n">
        <f aca="false">N18+O18</f>
        <v>1</v>
      </c>
      <c r="Q18" s="9" t="str">
        <f aca="false">IF(P18&lt;0.2,"Fold",IF(AND(N18&gt;=0.2,O18&gt;=0.2),"3bet/call",IF(N18&gt;=O18,"3bet","Call")))</f>
        <v>3bet</v>
      </c>
    </row>
    <row r="19" customFormat="false" ht="15" hidden="false" customHeight="true" outlineLevel="0" collapsed="false">
      <c r="A19" s="5" t="s">
        <v>100</v>
      </c>
      <c r="B19" s="15" t="n">
        <v>1</v>
      </c>
      <c r="C19" s="15" t="n">
        <v>0</v>
      </c>
      <c r="D19" s="8" t="n">
        <f aca="false">B19+C19</f>
        <v>1</v>
      </c>
      <c r="E19" s="9" t="str">
        <f aca="false">IF(D19&lt;0.2,"Fold",IF(AND(B19&gt;=0.2,C19&gt;=0.2),"3bet/call",IF(B19&gt;=C19,"3bet","Call")))</f>
        <v>3bet</v>
      </c>
      <c r="F19" s="15" t="n">
        <v>1</v>
      </c>
      <c r="G19" s="15" t="n">
        <v>0</v>
      </c>
      <c r="H19" s="8" t="n">
        <f aca="false">F19+G19</f>
        <v>1</v>
      </c>
      <c r="I19" s="9" t="str">
        <f aca="false">IF(H19&lt;0.2,"Fold",IF(AND(F19&gt;=0.2,G19&gt;=0.2),"3bet/call",IF(F19&gt;=G19,"3bet","Call")))</f>
        <v>3bet</v>
      </c>
      <c r="J19" s="15" t="n">
        <v>1</v>
      </c>
      <c r="K19" s="15" t="n">
        <v>0</v>
      </c>
      <c r="L19" s="8" t="n">
        <f aca="false">J19+K19</f>
        <v>1</v>
      </c>
      <c r="M19" s="9" t="str">
        <f aca="false">IF(L19&lt;0.2,"Fold",IF(AND(J19&gt;=0.2,K19&gt;=0.2),"3bet/call",IF(J19&gt;=K19,"3bet","Call")))</f>
        <v>3bet</v>
      </c>
      <c r="N19" s="15" t="n">
        <v>1</v>
      </c>
      <c r="O19" s="15" t="n">
        <v>0</v>
      </c>
      <c r="P19" s="8" t="n">
        <f aca="false">N19+O19</f>
        <v>1</v>
      </c>
      <c r="Q19" s="9" t="str">
        <f aca="false">IF(P19&lt;0.2,"Fold",IF(AND(N19&gt;=0.2,O19&gt;=0.2),"3bet/call",IF(N19&gt;=O19,"3bet","Call")))</f>
        <v>3bet</v>
      </c>
    </row>
    <row r="20" customFormat="false" ht="15" hidden="false" customHeight="true" outlineLevel="0" collapsed="false">
      <c r="A20" s="5" t="s">
        <v>101</v>
      </c>
      <c r="B20" s="15" t="n">
        <v>0</v>
      </c>
      <c r="C20" s="15" t="n">
        <v>1</v>
      </c>
      <c r="D20" s="8" t="n">
        <f aca="false">B20+C20</f>
        <v>1</v>
      </c>
      <c r="E20" s="9" t="str">
        <f aca="false">IF(D20&lt;0.2,"Fold",IF(AND(B20&gt;=0.2,C20&gt;=0.2),"3bet/call",IF(B20&gt;=C20,"3bet","Call")))</f>
        <v>Call</v>
      </c>
      <c r="F20" s="15" t="n">
        <v>0</v>
      </c>
      <c r="G20" s="15" t="n">
        <v>1</v>
      </c>
      <c r="H20" s="8" t="n">
        <f aca="false">F20+G20</f>
        <v>1</v>
      </c>
      <c r="I20" s="9" t="str">
        <f aca="false">IF(H20&lt;0.2,"Fold",IF(AND(F20&gt;=0.2,G20&gt;=0.2),"3bet/call",IF(F20&gt;=G20,"3bet","Call")))</f>
        <v>Call</v>
      </c>
      <c r="J20" s="15" t="n">
        <v>0</v>
      </c>
      <c r="K20" s="15" t="n">
        <v>1</v>
      </c>
      <c r="L20" s="8" t="n">
        <f aca="false">J20+K20</f>
        <v>1</v>
      </c>
      <c r="M20" s="9" t="str">
        <f aca="false">IF(L20&lt;0.2,"Fold",IF(AND(J20&gt;=0.2,K20&gt;=0.2),"3bet/call",IF(J20&gt;=K20,"3bet","Call")))</f>
        <v>Call</v>
      </c>
      <c r="N20" s="15" t="n">
        <v>1</v>
      </c>
      <c r="O20" s="15" t="n">
        <v>0</v>
      </c>
      <c r="P20" s="8" t="n">
        <f aca="false">N20+O20</f>
        <v>1</v>
      </c>
      <c r="Q20" s="9" t="str">
        <f aca="false">IF(P20&lt;0.2,"Fold",IF(AND(N20&gt;=0.2,O20&gt;=0.2),"3bet/call",IF(N20&gt;=O20,"3bet","Call")))</f>
        <v>3bet</v>
      </c>
    </row>
    <row r="21" customFormat="false" ht="15" hidden="false" customHeight="true" outlineLevel="0" collapsed="false">
      <c r="A21" s="5" t="s">
        <v>102</v>
      </c>
      <c r="B21" s="15" t="n">
        <v>0.1</v>
      </c>
      <c r="C21" s="15" t="n">
        <v>0.9</v>
      </c>
      <c r="D21" s="8" t="n">
        <f aca="false">B21+C21</f>
        <v>1</v>
      </c>
      <c r="E21" s="9" t="str">
        <f aca="false">IF(D21&lt;0.2,"Fold",IF(AND(B21&gt;=0.2,C21&gt;=0.2),"3bet/call",IF(B21&gt;=C21,"3bet","Call")))</f>
        <v>Call</v>
      </c>
      <c r="F21" s="15" t="n">
        <v>0</v>
      </c>
      <c r="G21" s="15" t="n">
        <v>1</v>
      </c>
      <c r="H21" s="8" t="n">
        <f aca="false">F21+G21</f>
        <v>1</v>
      </c>
      <c r="I21" s="9" t="str">
        <f aca="false">IF(H21&lt;0.2,"Fold",IF(AND(F21&gt;=0.2,G21&gt;=0.2),"3bet/call",IF(F21&gt;=G21,"3bet","Call")))</f>
        <v>Call</v>
      </c>
      <c r="J21" s="15" t="n">
        <v>0.15</v>
      </c>
      <c r="K21" s="15" t="n">
        <v>0.85</v>
      </c>
      <c r="L21" s="8" t="n">
        <f aca="false">J21+K21</f>
        <v>1</v>
      </c>
      <c r="M21" s="9" t="str">
        <f aca="false">IF(L21&lt;0.2,"Fold",IF(AND(J21&gt;=0.2,K21&gt;=0.2),"3bet/call",IF(J21&gt;=K21,"3bet","Call")))</f>
        <v>Call</v>
      </c>
      <c r="N21" s="15" t="n">
        <v>0.25</v>
      </c>
      <c r="O21" s="15" t="n">
        <v>0.75</v>
      </c>
      <c r="P21" s="8" t="n">
        <f aca="false">N21+O21</f>
        <v>1</v>
      </c>
      <c r="Q21" s="9" t="str">
        <f aca="false">IF(P21&lt;0.2,"Fold",IF(AND(N21&gt;=0.2,O21&gt;=0.2),"3bet/call",IF(N21&gt;=O21,"3bet","Call")))</f>
        <v>3bet/call</v>
      </c>
    </row>
    <row r="22" customFormat="false" ht="15" hidden="false" customHeight="true" outlineLevel="0" collapsed="false">
      <c r="A22" s="5" t="s">
        <v>103</v>
      </c>
      <c r="B22" s="15" t="n">
        <v>0.5</v>
      </c>
      <c r="C22" s="15" t="n">
        <v>0.5</v>
      </c>
      <c r="D22" s="8" t="n">
        <f aca="false">B22+C22</f>
        <v>1</v>
      </c>
      <c r="E22" s="9" t="str">
        <f aca="false">IF(D22&lt;0.2,"Fold",IF(AND(B22&gt;=0.2,C22&gt;=0.2),"3bet/call",IF(B22&gt;=C22,"3bet","Call")))</f>
        <v>3bet/call</v>
      </c>
      <c r="F22" s="15" t="n">
        <v>0</v>
      </c>
      <c r="G22" s="15" t="n">
        <v>1</v>
      </c>
      <c r="H22" s="8" t="n">
        <f aca="false">F22+G22</f>
        <v>1</v>
      </c>
      <c r="I22" s="9" t="str">
        <f aca="false">IF(H22&lt;0.2,"Fold",IF(AND(F22&gt;=0.2,G22&gt;=0.2),"3bet/call",IF(F22&gt;=G22,"3bet","Call")))</f>
        <v>Call</v>
      </c>
      <c r="J22" s="15" t="n">
        <v>0</v>
      </c>
      <c r="K22" s="15" t="n">
        <v>1</v>
      </c>
      <c r="L22" s="8" t="n">
        <f aca="false">J22+K22</f>
        <v>1</v>
      </c>
      <c r="M22" s="9" t="str">
        <f aca="false">IF(L22&lt;0.2,"Fold",IF(AND(J22&gt;=0.2,K22&gt;=0.2),"3bet/call",IF(J22&gt;=K22,"3bet","Call")))</f>
        <v>Call</v>
      </c>
      <c r="N22" s="15" t="n">
        <v>0.75</v>
      </c>
      <c r="O22" s="15" t="n">
        <v>0.25</v>
      </c>
      <c r="P22" s="8" t="n">
        <f aca="false">N22+O22</f>
        <v>1</v>
      </c>
      <c r="Q22" s="9" t="str">
        <f aca="false">IF(P22&lt;0.2,"Fold",IF(AND(N22&gt;=0.2,O22&gt;=0.2),"3bet/call",IF(N22&gt;=O22,"3bet","Call")))</f>
        <v>3bet/call</v>
      </c>
    </row>
    <row r="23" customFormat="false" ht="15" hidden="false" customHeight="true" outlineLevel="0" collapsed="false">
      <c r="A23" s="5" t="s">
        <v>104</v>
      </c>
      <c r="B23" s="15" t="n">
        <v>1</v>
      </c>
      <c r="C23" s="15" t="n">
        <v>0</v>
      </c>
      <c r="D23" s="8" t="n">
        <f aca="false">B23+C23</f>
        <v>1</v>
      </c>
      <c r="E23" s="9" t="str">
        <f aca="false">IF(D23&lt;0.2,"Fold",IF(AND(B23&gt;=0.2,C23&gt;=0.2),"3bet/call",IF(B23&gt;=C23,"3bet","Call")))</f>
        <v>3bet</v>
      </c>
      <c r="F23" s="15" t="n">
        <v>0.85</v>
      </c>
      <c r="G23" s="15" t="n">
        <v>0.15</v>
      </c>
      <c r="H23" s="8" t="n">
        <f aca="false">F23+G23</f>
        <v>1</v>
      </c>
      <c r="I23" s="9" t="str">
        <f aca="false">IF(H23&lt;0.2,"Fold",IF(AND(F23&gt;=0.2,G23&gt;=0.2),"3bet/call",IF(F23&gt;=G23,"3bet","Call")))</f>
        <v>3bet</v>
      </c>
      <c r="J23" s="15" t="n">
        <v>0</v>
      </c>
      <c r="K23" s="15" t="n">
        <v>1</v>
      </c>
      <c r="L23" s="8" t="n">
        <f aca="false">J23+K23</f>
        <v>1</v>
      </c>
      <c r="M23" s="9" t="str">
        <f aca="false">IF(L23&lt;0.2,"Fold",IF(AND(J23&gt;=0.2,K23&gt;=0.2),"3bet/call",IF(J23&gt;=K23,"3bet","Call")))</f>
        <v>Call</v>
      </c>
      <c r="N23" s="15" t="n">
        <v>0</v>
      </c>
      <c r="O23" s="15" t="n">
        <v>1</v>
      </c>
      <c r="P23" s="8" t="n">
        <f aca="false">N23+O23</f>
        <v>1</v>
      </c>
      <c r="Q23" s="9" t="str">
        <f aca="false">IF(P23&lt;0.2,"Fold",IF(AND(N23&gt;=0.2,O23&gt;=0.2),"3bet/call",IF(N23&gt;=O23,"3bet","Call")))</f>
        <v>Call</v>
      </c>
    </row>
    <row r="24" customFormat="false" ht="15" hidden="false" customHeight="true" outlineLevel="0" collapsed="false">
      <c r="A24" s="5" t="s">
        <v>105</v>
      </c>
      <c r="B24" s="15" t="n">
        <v>0</v>
      </c>
      <c r="C24" s="15" t="n">
        <v>0</v>
      </c>
      <c r="D24" s="8" t="n">
        <f aca="false">B24+C24</f>
        <v>0</v>
      </c>
      <c r="E24" s="9" t="str">
        <f aca="false">IF(D24&lt;0.2,"Fold",IF(AND(B24&gt;=0.2,C24&gt;=0.2),"3bet/call",IF(B24&gt;=C24,"3bet","Call")))</f>
        <v>Fold</v>
      </c>
      <c r="F24" s="15" t="n">
        <v>0.55</v>
      </c>
      <c r="G24" s="15" t="n">
        <v>0</v>
      </c>
      <c r="H24" s="8" t="n">
        <f aca="false">F24+G24</f>
        <v>0.55</v>
      </c>
      <c r="I24" s="9" t="str">
        <f aca="false">IF(H24&lt;0.2,"Fold",IF(AND(F24&gt;=0.2,G24&gt;=0.2),"3bet/call",IF(F24&gt;=G24,"3bet","Call")))</f>
        <v>3bet</v>
      </c>
      <c r="J24" s="15" t="n">
        <v>0.25</v>
      </c>
      <c r="K24" s="15" t="n">
        <v>0.75</v>
      </c>
      <c r="L24" s="8" t="n">
        <f aca="false">J24+K24</f>
        <v>1</v>
      </c>
      <c r="M24" s="9" t="str">
        <f aca="false">IF(L24&lt;0.2,"Fold",IF(AND(J24&gt;=0.2,K24&gt;=0.2),"3bet/call",IF(J24&gt;=K24,"3bet","Call")))</f>
        <v>3bet/call</v>
      </c>
      <c r="N24" s="15" t="n">
        <v>0</v>
      </c>
      <c r="O24" s="15" t="n">
        <v>1</v>
      </c>
      <c r="P24" s="8" t="n">
        <f aca="false">N24+O24</f>
        <v>1</v>
      </c>
      <c r="Q24" s="9" t="str">
        <f aca="false">IF(P24&lt;0.2,"Fold",IF(AND(N24&gt;=0.2,O24&gt;=0.2),"3bet/call",IF(N24&gt;=O24,"3bet","Call")))</f>
        <v>Call</v>
      </c>
    </row>
    <row r="25" customFormat="false" ht="15" hidden="false" customHeight="true" outlineLevel="0" collapsed="false">
      <c r="A25" s="5" t="s">
        <v>106</v>
      </c>
      <c r="B25" s="15" t="n">
        <v>0</v>
      </c>
      <c r="C25" s="15" t="n">
        <v>0</v>
      </c>
      <c r="D25" s="8" t="n">
        <f aca="false">B25+C25</f>
        <v>0</v>
      </c>
      <c r="E25" s="9" t="str">
        <f aca="false">IF(D25&lt;0.2,"Fold",IF(AND(B25&gt;=0.2,C25&gt;=0.2),"3bet/call",IF(B25&gt;=C25,"3bet","Call")))</f>
        <v>Fold</v>
      </c>
      <c r="F25" s="15" t="n">
        <v>0</v>
      </c>
      <c r="G25" s="15" t="n">
        <v>0</v>
      </c>
      <c r="H25" s="8" t="n">
        <f aca="false">F25+G25</f>
        <v>0</v>
      </c>
      <c r="I25" s="9" t="str">
        <f aca="false">IF(H25&lt;0.2,"Fold",IF(AND(F25&gt;=0.2,G25&gt;=0.2),"3bet/call",IF(F25&gt;=G25,"3bet","Call")))</f>
        <v>Fold</v>
      </c>
      <c r="J25" s="15" t="n">
        <v>0.65</v>
      </c>
      <c r="K25" s="15" t="n">
        <v>0.35</v>
      </c>
      <c r="L25" s="8" t="n">
        <f aca="false">J25+K25</f>
        <v>1</v>
      </c>
      <c r="M25" s="9" t="str">
        <f aca="false">IF(L25&lt;0.2,"Fold",IF(AND(J25&gt;=0.2,K25&gt;=0.2),"3bet/call",IF(J25&gt;=K25,"3bet","Call")))</f>
        <v>3bet/call</v>
      </c>
      <c r="N25" s="15" t="n">
        <v>0.35</v>
      </c>
      <c r="O25" s="15" t="n">
        <v>0.65</v>
      </c>
      <c r="P25" s="8" t="n">
        <f aca="false">N25+O25</f>
        <v>1</v>
      </c>
      <c r="Q25" s="9" t="str">
        <f aca="false">IF(P25&lt;0.2,"Fold",IF(AND(N25&gt;=0.2,O25&gt;=0.2),"3bet/call",IF(N25&gt;=O25,"3bet","Call")))</f>
        <v>3bet/call</v>
      </c>
    </row>
    <row r="26" customFormat="false" ht="15" hidden="false" customHeight="true" outlineLevel="0" collapsed="false">
      <c r="A26" s="5" t="s">
        <v>107</v>
      </c>
      <c r="B26" s="15" t="n">
        <v>0</v>
      </c>
      <c r="C26" s="15" t="n">
        <v>0</v>
      </c>
      <c r="D26" s="8" t="n">
        <f aca="false">B26+C26</f>
        <v>0</v>
      </c>
      <c r="E26" s="9" t="str">
        <f aca="false">IF(D26&lt;0.2,"Fold",IF(AND(B26&gt;=0.2,C26&gt;=0.2),"3bet/call",IF(B26&gt;=C26,"3bet","Call")))</f>
        <v>Fold</v>
      </c>
      <c r="F26" s="15" t="n">
        <v>0</v>
      </c>
      <c r="G26" s="15" t="n">
        <v>0</v>
      </c>
      <c r="H26" s="8" t="n">
        <f aca="false">F26+G26</f>
        <v>0</v>
      </c>
      <c r="I26" s="9" t="str">
        <f aca="false">IF(H26&lt;0.2,"Fold",IF(AND(F26&gt;=0.2,G26&gt;=0.2),"3bet/call",IF(F26&gt;=G26,"3bet","Call")))</f>
        <v>Fold</v>
      </c>
      <c r="J26" s="15" t="n">
        <v>0.35</v>
      </c>
      <c r="K26" s="15" t="n">
        <v>0.45</v>
      </c>
      <c r="L26" s="8" t="n">
        <f aca="false">J26+K26</f>
        <v>0.8</v>
      </c>
      <c r="M26" s="9" t="str">
        <f aca="false">IF(L26&lt;0.2,"Fold",IF(AND(J26&gt;=0.2,K26&gt;=0.2),"3bet/call",IF(J26&gt;=K26,"3bet","Call")))</f>
        <v>3bet/call</v>
      </c>
      <c r="N26" s="15" t="n">
        <v>0.85</v>
      </c>
      <c r="O26" s="15" t="n">
        <v>0.15</v>
      </c>
      <c r="P26" s="8" t="n">
        <f aca="false">N26+O26</f>
        <v>1</v>
      </c>
      <c r="Q26" s="9" t="str">
        <f aca="false">IF(P26&lt;0.2,"Fold",IF(AND(N26&gt;=0.2,O26&gt;=0.2),"3bet/call",IF(N26&gt;=O26,"3bet","Call")))</f>
        <v>3bet</v>
      </c>
    </row>
    <row r="27" customFormat="false" ht="15" hidden="false" customHeight="true" outlineLevel="0" collapsed="false">
      <c r="A27" s="5" t="s">
        <v>108</v>
      </c>
      <c r="B27" s="15" t="n">
        <v>0</v>
      </c>
      <c r="C27" s="15" t="n">
        <v>0</v>
      </c>
      <c r="D27" s="8" t="n">
        <f aca="false">B27+C27</f>
        <v>0</v>
      </c>
      <c r="E27" s="9" t="str">
        <f aca="false">IF(D27&lt;0.2,"Fold",IF(AND(B27&gt;=0.2,C27&gt;=0.2),"3bet/call",IF(B27&gt;=C27,"3bet","Call")))</f>
        <v>Fold</v>
      </c>
      <c r="F27" s="15" t="n">
        <v>0</v>
      </c>
      <c r="G27" s="15" t="n">
        <v>0</v>
      </c>
      <c r="H27" s="8" t="n">
        <f aca="false">F27+G27</f>
        <v>0</v>
      </c>
      <c r="I27" s="9" t="str">
        <f aca="false">IF(H27&lt;0.2,"Fold",IF(AND(F27&gt;=0.2,G27&gt;=0.2),"3bet/call",IF(F27&gt;=G27,"3bet","Call")))</f>
        <v>Fold</v>
      </c>
      <c r="J27" s="15" t="n">
        <v>0.4</v>
      </c>
      <c r="K27" s="15" t="n">
        <v>0</v>
      </c>
      <c r="L27" s="8" t="n">
        <f aca="false">J27+K27</f>
        <v>0.4</v>
      </c>
      <c r="M27" s="9" t="str">
        <f aca="false">IF(L27&lt;0.2,"Fold",IF(AND(J27&gt;=0.2,K27&gt;=0.2),"3bet/call",IF(J27&gt;=K27,"3bet","Call")))</f>
        <v>3bet</v>
      </c>
      <c r="N27" s="15" t="n">
        <v>0.25</v>
      </c>
      <c r="O27" s="15" t="n">
        <v>0.75</v>
      </c>
      <c r="P27" s="8" t="n">
        <f aca="false">N27+O27</f>
        <v>1</v>
      </c>
      <c r="Q27" s="9" t="str">
        <f aca="false">IF(P27&lt;0.2,"Fold",IF(AND(N27&gt;=0.2,O27&gt;=0.2),"3bet/call",IF(N27&gt;=O27,"3bet","Call")))</f>
        <v>3bet/call</v>
      </c>
    </row>
    <row r="28" customFormat="false" ht="15" hidden="false" customHeight="true" outlineLevel="0" collapsed="false">
      <c r="A28" s="5" t="s">
        <v>109</v>
      </c>
      <c r="B28" s="15" t="n">
        <v>0</v>
      </c>
      <c r="C28" s="15" t="n">
        <v>0</v>
      </c>
      <c r="D28" s="8" t="n">
        <f aca="false">B28+C28</f>
        <v>0</v>
      </c>
      <c r="E28" s="9" t="str">
        <f aca="false">IF(D28&lt;0.2,"Fold",IF(AND(B28&gt;=0.2,C28&gt;=0.2),"3bet/call",IF(B28&gt;=C28,"3bet","Call")))</f>
        <v>Fold</v>
      </c>
      <c r="F28" s="15" t="n">
        <v>0</v>
      </c>
      <c r="G28" s="15" t="n">
        <v>0</v>
      </c>
      <c r="H28" s="8" t="n">
        <f aca="false">F28+G28</f>
        <v>0</v>
      </c>
      <c r="I28" s="9" t="str">
        <f aca="false">IF(H28&lt;0.2,"Fold",IF(AND(F28&gt;=0.2,G28&gt;=0.2),"3bet/call",IF(F28&gt;=G28,"3bet","Call")))</f>
        <v>Fold</v>
      </c>
      <c r="J28" s="15" t="n">
        <v>0</v>
      </c>
      <c r="K28" s="15" t="n">
        <v>0</v>
      </c>
      <c r="L28" s="8" t="n">
        <f aca="false">J28+K28</f>
        <v>0</v>
      </c>
      <c r="M28" s="9" t="str">
        <f aca="false">IF(L28&lt;0.2,"Fold",IF(AND(J28&gt;=0.2,K28&gt;=0.2),"3bet/call",IF(J28&gt;=K28,"3bet","Call")))</f>
        <v>Fold</v>
      </c>
      <c r="N28" s="15" t="n">
        <v>0.2</v>
      </c>
      <c r="O28" s="15" t="n">
        <v>0.8</v>
      </c>
      <c r="P28" s="8" t="n">
        <f aca="false">N28+O28</f>
        <v>1</v>
      </c>
      <c r="Q28" s="9" t="str">
        <f aca="false">IF(P28&lt;0.2,"Fold",IF(AND(N28&gt;=0.2,O28&gt;=0.2),"3bet/call",IF(N28&gt;=O28,"3bet","Call")))</f>
        <v>3bet/call</v>
      </c>
    </row>
    <row r="29" customFormat="false" ht="15" hidden="false" customHeight="true" outlineLevel="0" collapsed="false">
      <c r="A29" s="5" t="s">
        <v>110</v>
      </c>
      <c r="B29" s="15" t="n">
        <v>0</v>
      </c>
      <c r="C29" s="15" t="n">
        <v>0</v>
      </c>
      <c r="D29" s="8" t="n">
        <f aca="false">B29+C29</f>
        <v>0</v>
      </c>
      <c r="E29" s="9" t="str">
        <f aca="false">IF(D29&lt;0.2,"Fold",IF(AND(B29&gt;=0.2,C29&gt;=0.2),"3bet/call",IF(B29&gt;=C29,"3bet","Call")))</f>
        <v>Fold</v>
      </c>
      <c r="F29" s="15" t="n">
        <v>0</v>
      </c>
      <c r="G29" s="15" t="n">
        <v>0</v>
      </c>
      <c r="H29" s="8" t="n">
        <f aca="false">F29+G29</f>
        <v>0</v>
      </c>
      <c r="I29" s="9" t="str">
        <f aca="false">IF(H29&lt;0.2,"Fold",IF(AND(F29&gt;=0.2,G29&gt;=0.2),"3bet/call",IF(F29&gt;=G29,"3bet","Call")))</f>
        <v>Fold</v>
      </c>
      <c r="J29" s="15" t="n">
        <v>0</v>
      </c>
      <c r="K29" s="15" t="n">
        <v>0</v>
      </c>
      <c r="L29" s="8" t="n">
        <f aca="false">J29+K29</f>
        <v>0</v>
      </c>
      <c r="M29" s="9" t="str">
        <f aca="false">IF(L29&lt;0.2,"Fold",IF(AND(J29&gt;=0.2,K29&gt;=0.2),"3bet/call",IF(J29&gt;=K29,"3bet","Call")))</f>
        <v>Fold</v>
      </c>
      <c r="N29" s="15" t="n">
        <v>0</v>
      </c>
      <c r="O29" s="15" t="n">
        <v>0</v>
      </c>
      <c r="P29" s="8" t="n">
        <f aca="false">N29+O29</f>
        <v>0</v>
      </c>
      <c r="Q29" s="9" t="str">
        <f aca="false">IF(P29&lt;0.2,"Fold",IF(AND(N29&gt;=0.2,O29&gt;=0.2),"3bet/call",IF(N29&gt;=O29,"3bet","Call")))</f>
        <v>Fold</v>
      </c>
    </row>
    <row r="30" customFormat="false" ht="15" hidden="false" customHeight="true" outlineLevel="0" collapsed="false">
      <c r="A30" s="5" t="s">
        <v>111</v>
      </c>
      <c r="B30" s="15" t="n">
        <v>0</v>
      </c>
      <c r="C30" s="15" t="n">
        <v>0</v>
      </c>
      <c r="D30" s="8" t="n">
        <f aca="false">B30+C30</f>
        <v>0</v>
      </c>
      <c r="E30" s="9" t="str">
        <f aca="false">IF(D30&lt;0.2,"Fold",IF(AND(B30&gt;=0.2,C30&gt;=0.2),"3bet/call",IF(B30&gt;=C30,"3bet","Call")))</f>
        <v>Fold</v>
      </c>
      <c r="F30" s="15" t="n">
        <v>0</v>
      </c>
      <c r="G30" s="15" t="n">
        <v>0</v>
      </c>
      <c r="H30" s="8" t="n">
        <f aca="false">F30+G30</f>
        <v>0</v>
      </c>
      <c r="I30" s="9" t="str">
        <f aca="false">IF(H30&lt;0.2,"Fold",IF(AND(F30&gt;=0.2,G30&gt;=0.2),"3bet/call",IF(F30&gt;=G30,"3bet","Call")))</f>
        <v>Fold</v>
      </c>
      <c r="J30" s="15" t="n">
        <v>0</v>
      </c>
      <c r="K30" s="15" t="n">
        <v>0</v>
      </c>
      <c r="L30" s="8" t="n">
        <f aca="false">J30+K30</f>
        <v>0</v>
      </c>
      <c r="M30" s="9" t="str">
        <f aca="false">IF(L30&lt;0.2,"Fold",IF(AND(J30&gt;=0.2,K30&gt;=0.2),"3bet/call",IF(J30&gt;=K30,"3bet","Call")))</f>
        <v>Fold</v>
      </c>
      <c r="N30" s="15" t="n">
        <v>0</v>
      </c>
      <c r="O30" s="15" t="n">
        <v>0</v>
      </c>
      <c r="P30" s="8" t="n">
        <f aca="false">N30+O30</f>
        <v>0</v>
      </c>
      <c r="Q30" s="9" t="str">
        <f aca="false">IF(P30&lt;0.2,"Fold",IF(AND(N30&gt;=0.2,O30&gt;=0.2),"3bet/call",IF(N30&gt;=O30,"3bet","Call")))</f>
        <v>Fold</v>
      </c>
    </row>
    <row r="31" customFormat="false" ht="15" hidden="false" customHeight="true" outlineLevel="0" collapsed="false">
      <c r="A31" s="5" t="s">
        <v>112</v>
      </c>
      <c r="B31" s="15" t="n">
        <v>0.56</v>
      </c>
      <c r="C31" s="15" t="n">
        <v>0.44</v>
      </c>
      <c r="D31" s="8" t="n">
        <f aca="false">B31+C31</f>
        <v>1</v>
      </c>
      <c r="E31" s="9" t="str">
        <f aca="false">IF(D31&lt;0.2,"Fold",IF(AND(B31&gt;=0.2,C31&gt;=0.2),"3bet/call",IF(B31&gt;=C31,"3bet","Call")))</f>
        <v>3bet/call</v>
      </c>
      <c r="F31" s="15" t="n">
        <v>0.3</v>
      </c>
      <c r="G31" s="15" t="n">
        <v>0.7</v>
      </c>
      <c r="H31" s="8" t="n">
        <f aca="false">F31+G31</f>
        <v>1</v>
      </c>
      <c r="I31" s="9" t="str">
        <f aca="false">IF(H31&lt;0.2,"Fold",IF(AND(F31&gt;=0.2,G31&gt;=0.2),"3bet/call",IF(F31&gt;=G31,"3bet","Call")))</f>
        <v>3bet/call</v>
      </c>
      <c r="J31" s="15" t="n">
        <v>0.2</v>
      </c>
      <c r="K31" s="15" t="n">
        <v>0.8</v>
      </c>
      <c r="L31" s="8" t="n">
        <f aca="false">J31+K31</f>
        <v>1</v>
      </c>
      <c r="M31" s="9" t="str">
        <f aca="false">IF(L31&lt;0.2,"Fold",IF(AND(J31&gt;=0.2,K31&gt;=0.2),"3bet/call",IF(J31&gt;=K31,"3bet","Call")))</f>
        <v>3bet/call</v>
      </c>
      <c r="N31" s="15" t="n">
        <v>1</v>
      </c>
      <c r="O31" s="15" t="n">
        <v>0</v>
      </c>
      <c r="P31" s="8" t="n">
        <f aca="false">N31+O31</f>
        <v>1</v>
      </c>
      <c r="Q31" s="9" t="str">
        <f aca="false">IF(P31&lt;0.2,"Fold",IF(AND(N31&gt;=0.2,O31&gt;=0.2),"3bet/call",IF(N31&gt;=O31,"3bet","Call")))</f>
        <v>3bet</v>
      </c>
    </row>
    <row r="32" customFormat="false" ht="15" hidden="false" customHeight="true" outlineLevel="0" collapsed="false">
      <c r="A32" s="5" t="s">
        <v>113</v>
      </c>
      <c r="B32" s="15" t="n">
        <v>0.7</v>
      </c>
      <c r="C32" s="15" t="n">
        <v>0.3</v>
      </c>
      <c r="D32" s="8" t="n">
        <f aca="false">B32+C32</f>
        <v>1</v>
      </c>
      <c r="E32" s="9" t="str">
        <f aca="false">IF(D32&lt;0.2,"Fold",IF(AND(B32&gt;=0.2,C32&gt;=0.2),"3bet/call",IF(B32&gt;=C32,"3bet","Call")))</f>
        <v>3bet/call</v>
      </c>
      <c r="F32" s="15" t="n">
        <v>0.45</v>
      </c>
      <c r="G32" s="15" t="n">
        <v>0.55</v>
      </c>
      <c r="H32" s="8" t="n">
        <f aca="false">F32+G32</f>
        <v>1</v>
      </c>
      <c r="I32" s="9" t="str">
        <f aca="false">IF(H32&lt;0.2,"Fold",IF(AND(F32&gt;=0.2,G32&gt;=0.2),"3bet/call",IF(F32&gt;=G32,"3bet","Call")))</f>
        <v>3bet/call</v>
      </c>
      <c r="J32" s="15" t="n">
        <v>0.35</v>
      </c>
      <c r="K32" s="15" t="n">
        <v>0.65</v>
      </c>
      <c r="L32" s="8" t="n">
        <f aca="false">J32+K32</f>
        <v>1</v>
      </c>
      <c r="M32" s="9" t="str">
        <f aca="false">IF(L32&lt;0.2,"Fold",IF(AND(J32&gt;=0.2,K32&gt;=0.2),"3bet/call",IF(J32&gt;=K32,"3bet","Call")))</f>
        <v>3bet/call</v>
      </c>
      <c r="N32" s="15" t="n">
        <v>0.9</v>
      </c>
      <c r="O32" s="15" t="n">
        <v>0.1</v>
      </c>
      <c r="P32" s="8" t="n">
        <f aca="false">N32+O32</f>
        <v>1</v>
      </c>
      <c r="Q32" s="9" t="str">
        <f aca="false">IF(P32&lt;0.2,"Fold",IF(AND(N32&gt;=0.2,O32&gt;=0.2),"3bet/call",IF(N32&gt;=O32,"3bet","Call")))</f>
        <v>3bet</v>
      </c>
    </row>
    <row r="33" customFormat="false" ht="15" hidden="false" customHeight="true" outlineLevel="0" collapsed="false">
      <c r="A33" s="5" t="s">
        <v>114</v>
      </c>
      <c r="B33" s="15" t="n">
        <v>1</v>
      </c>
      <c r="C33" s="15" t="n">
        <v>0</v>
      </c>
      <c r="D33" s="8" t="n">
        <f aca="false">B33+C33</f>
        <v>1</v>
      </c>
      <c r="E33" s="9" t="str">
        <f aca="false">IF(D33&lt;0.2,"Fold",IF(AND(B33&gt;=0.2,C33&gt;=0.2),"3bet/call",IF(B33&gt;=C33,"3bet","Call")))</f>
        <v>3bet</v>
      </c>
      <c r="F33" s="15" t="n">
        <v>1</v>
      </c>
      <c r="G33" s="15" t="n">
        <v>0</v>
      </c>
      <c r="H33" s="8" t="n">
        <f aca="false">F33+G33</f>
        <v>1</v>
      </c>
      <c r="I33" s="9" t="str">
        <f aca="false">IF(H33&lt;0.2,"Fold",IF(AND(F33&gt;=0.2,G33&gt;=0.2),"3bet/call",IF(F33&gt;=G33,"3bet","Call")))</f>
        <v>3bet</v>
      </c>
      <c r="J33" s="15" t="n">
        <v>1</v>
      </c>
      <c r="K33" s="15" t="n">
        <v>0</v>
      </c>
      <c r="L33" s="8" t="n">
        <f aca="false">J33+K33</f>
        <v>1</v>
      </c>
      <c r="M33" s="9" t="str">
        <f aca="false">IF(L33&lt;0.2,"Fold",IF(AND(J33&gt;=0.2,K33&gt;=0.2),"3bet/call",IF(J33&gt;=K33,"3bet","Call")))</f>
        <v>3bet</v>
      </c>
      <c r="N33" s="15" t="n">
        <v>1</v>
      </c>
      <c r="O33" s="15" t="n">
        <v>0</v>
      </c>
      <c r="P33" s="8" t="n">
        <f aca="false">N33+O33</f>
        <v>1</v>
      </c>
      <c r="Q33" s="9" t="str">
        <f aca="false">IF(P33&lt;0.2,"Fold",IF(AND(N33&gt;=0.2,O33&gt;=0.2),"3bet/call",IF(N33&gt;=O33,"3bet","Call")))</f>
        <v>3bet</v>
      </c>
    </row>
    <row r="34" customFormat="false" ht="15" hidden="false" customHeight="true" outlineLevel="0" collapsed="false">
      <c r="A34" s="5" t="s">
        <v>115</v>
      </c>
      <c r="B34" s="15" t="n">
        <v>0.4</v>
      </c>
      <c r="C34" s="15" t="n">
        <v>0.6</v>
      </c>
      <c r="D34" s="8" t="n">
        <f aca="false">B34+C34</f>
        <v>1</v>
      </c>
      <c r="E34" s="9" t="str">
        <f aca="false">IF(D34&lt;0.2,"Fold",IF(AND(B34&gt;=0.2,C34&gt;=0.2),"3bet/call",IF(B34&gt;=C34,"3bet","Call")))</f>
        <v>3bet/call</v>
      </c>
      <c r="F34" s="15" t="n">
        <v>0</v>
      </c>
      <c r="G34" s="15" t="n">
        <v>1</v>
      </c>
      <c r="H34" s="8" t="n">
        <f aca="false">F34+G34</f>
        <v>1</v>
      </c>
      <c r="I34" s="9" t="str">
        <f aca="false">IF(H34&lt;0.2,"Fold",IF(AND(F34&gt;=0.2,G34&gt;=0.2),"3bet/call",IF(F34&gt;=G34,"3bet","Call")))</f>
        <v>Call</v>
      </c>
      <c r="J34" s="15" t="n">
        <v>0</v>
      </c>
      <c r="K34" s="15" t="n">
        <v>1</v>
      </c>
      <c r="L34" s="8" t="n">
        <f aca="false">J34+K34</f>
        <v>1</v>
      </c>
      <c r="M34" s="9" t="str">
        <f aca="false">IF(L34&lt;0.2,"Fold",IF(AND(J34&gt;=0.2,K34&gt;=0.2),"3bet/call",IF(J34&gt;=K34,"3bet","Call")))</f>
        <v>Call</v>
      </c>
      <c r="N34" s="15" t="n">
        <v>0.5</v>
      </c>
      <c r="O34" s="15" t="n">
        <v>0.5</v>
      </c>
      <c r="P34" s="8" t="n">
        <f aca="false">N34+O34</f>
        <v>1</v>
      </c>
      <c r="Q34" s="9" t="str">
        <f aca="false">IF(P34&lt;0.2,"Fold",IF(AND(N34&gt;=0.2,O34&gt;=0.2),"3bet/call",IF(N34&gt;=O34,"3bet","Call")))</f>
        <v>3bet/call</v>
      </c>
    </row>
    <row r="35" customFormat="false" ht="15" hidden="false" customHeight="true" outlineLevel="0" collapsed="false">
      <c r="A35" s="5" t="s">
        <v>116</v>
      </c>
      <c r="B35" s="15" t="n">
        <v>0.2</v>
      </c>
      <c r="C35" s="15" t="n">
        <v>0.8</v>
      </c>
      <c r="D35" s="8" t="n">
        <f aca="false">B35+C35</f>
        <v>1</v>
      </c>
      <c r="E35" s="9" t="str">
        <f aca="false">IF(D35&lt;0.2,"Fold",IF(AND(B35&gt;=0.2,C35&gt;=0.2),"3bet/call",IF(B35&gt;=C35,"3bet","Call")))</f>
        <v>3bet/call</v>
      </c>
      <c r="F35" s="15" t="n">
        <v>0.1</v>
      </c>
      <c r="G35" s="15" t="n">
        <v>0.9</v>
      </c>
      <c r="H35" s="8" t="n">
        <f aca="false">F35+G35</f>
        <v>1</v>
      </c>
      <c r="I35" s="9" t="str">
        <f aca="false">IF(H35&lt;0.2,"Fold",IF(AND(F35&gt;=0.2,G35&gt;=0.2),"3bet/call",IF(F35&gt;=G35,"3bet","Call")))</f>
        <v>Call</v>
      </c>
      <c r="J35" s="15" t="n">
        <v>0</v>
      </c>
      <c r="K35" s="15" t="n">
        <v>1</v>
      </c>
      <c r="L35" s="8" t="n">
        <f aca="false">J35+K35</f>
        <v>1</v>
      </c>
      <c r="M35" s="9" t="str">
        <f aca="false">IF(L35&lt;0.2,"Fold",IF(AND(J35&gt;=0.2,K35&gt;=0.2),"3bet/call",IF(J35&gt;=K35,"3bet","Call")))</f>
        <v>Call</v>
      </c>
      <c r="N35" s="15" t="n">
        <v>1</v>
      </c>
      <c r="O35" s="15" t="n">
        <v>0</v>
      </c>
      <c r="P35" s="8" t="n">
        <f aca="false">N35+O35</f>
        <v>1</v>
      </c>
      <c r="Q35" s="9" t="str">
        <f aca="false">IF(P35&lt;0.2,"Fold",IF(AND(N35&gt;=0.2,O35&gt;=0.2),"3bet/call",IF(N35&gt;=O35,"3bet","Call")))</f>
        <v>3bet</v>
      </c>
    </row>
    <row r="36" customFormat="false" ht="15" hidden="false" customHeight="true" outlineLevel="0" collapsed="false">
      <c r="A36" s="5" t="s">
        <v>117</v>
      </c>
      <c r="B36" s="15" t="n">
        <v>0</v>
      </c>
      <c r="C36" s="15" t="n">
        <v>0</v>
      </c>
      <c r="D36" s="8" t="n">
        <f aca="false">B36+C36</f>
        <v>0</v>
      </c>
      <c r="E36" s="9" t="str">
        <f aca="false">IF(D36&lt;0.2,"Fold",IF(AND(B36&gt;=0.2,C36&gt;=0.2),"3bet/call",IF(B36&gt;=C36,"3bet","Call")))</f>
        <v>Fold</v>
      </c>
      <c r="F36" s="15" t="n">
        <v>1</v>
      </c>
      <c r="G36" s="15" t="n">
        <v>0</v>
      </c>
      <c r="H36" s="8" t="n">
        <f aca="false">F36+G36</f>
        <v>1</v>
      </c>
      <c r="I36" s="9" t="str">
        <f aca="false">IF(H36&lt;0.2,"Fold",IF(AND(F36&gt;=0.2,G36&gt;=0.2),"3bet/call",IF(F36&gt;=G36,"3bet","Call")))</f>
        <v>3bet</v>
      </c>
      <c r="J36" s="15" t="n">
        <v>0.4</v>
      </c>
      <c r="K36" s="15" t="n">
        <v>0.6</v>
      </c>
      <c r="L36" s="8" t="n">
        <f aca="false">J36+K36</f>
        <v>1</v>
      </c>
      <c r="M36" s="9" t="str">
        <f aca="false">IF(L36&lt;0.2,"Fold",IF(AND(J36&gt;=0.2,K36&gt;=0.2),"3bet/call",IF(J36&gt;=K36,"3bet","Call")))</f>
        <v>3bet/call</v>
      </c>
      <c r="N36" s="15" t="n">
        <v>0</v>
      </c>
      <c r="O36" s="15" t="n">
        <v>1</v>
      </c>
      <c r="P36" s="8" t="n">
        <f aca="false">N36+O36</f>
        <v>1</v>
      </c>
      <c r="Q36" s="9" t="str">
        <f aca="false">IF(P36&lt;0.2,"Fold",IF(AND(N36&gt;=0.2,O36&gt;=0.2),"3bet/call",IF(N36&gt;=O36,"3bet","Call")))</f>
        <v>Call</v>
      </c>
    </row>
    <row r="37" customFormat="false" ht="15" hidden="false" customHeight="true" outlineLevel="0" collapsed="false">
      <c r="A37" s="5" t="s">
        <v>118</v>
      </c>
      <c r="B37" s="15" t="n">
        <v>0</v>
      </c>
      <c r="C37" s="15" t="n">
        <v>0</v>
      </c>
      <c r="D37" s="8" t="n">
        <f aca="false">B37+C37</f>
        <v>0</v>
      </c>
      <c r="E37" s="9" t="str">
        <f aca="false">IF(D37&lt;0.2,"Fold",IF(AND(B37&gt;=0.2,C37&gt;=0.2),"3bet/call",IF(B37&gt;=C37,"3bet","Call")))</f>
        <v>Fold</v>
      </c>
      <c r="F37" s="15" t="n">
        <v>0</v>
      </c>
      <c r="G37" s="15" t="n">
        <v>0</v>
      </c>
      <c r="H37" s="8" t="n">
        <f aca="false">F37+G37</f>
        <v>0</v>
      </c>
      <c r="I37" s="9" t="str">
        <f aca="false">IF(H37&lt;0.2,"Fold",IF(AND(F37&gt;=0.2,G37&gt;=0.2),"3bet/call",IF(F37&gt;=G37,"3bet","Call")))</f>
        <v>Fold</v>
      </c>
      <c r="J37" s="15" t="n">
        <v>0.85</v>
      </c>
      <c r="K37" s="15" t="n">
        <v>0.15</v>
      </c>
      <c r="L37" s="8" t="n">
        <f aca="false">J37+K37</f>
        <v>1</v>
      </c>
      <c r="M37" s="9" t="str">
        <f aca="false">IF(L37&lt;0.2,"Fold",IF(AND(J37&gt;=0.2,K37&gt;=0.2),"3bet/call",IF(J37&gt;=K37,"3bet","Call")))</f>
        <v>3bet</v>
      </c>
      <c r="N37" s="15" t="n">
        <v>0.15</v>
      </c>
      <c r="O37" s="15" t="n">
        <v>0.85</v>
      </c>
      <c r="P37" s="8" t="n">
        <f aca="false">N37+O37</f>
        <v>1</v>
      </c>
      <c r="Q37" s="9" t="str">
        <f aca="false">IF(P37&lt;0.2,"Fold",IF(AND(N37&gt;=0.2,O37&gt;=0.2),"3bet/call",IF(N37&gt;=O37,"3bet","Call")))</f>
        <v>Call</v>
      </c>
    </row>
    <row r="38" customFormat="false" ht="15" hidden="false" customHeight="true" outlineLevel="0" collapsed="false">
      <c r="A38" s="5" t="s">
        <v>119</v>
      </c>
      <c r="B38" s="15" t="n">
        <v>0</v>
      </c>
      <c r="C38" s="15" t="n">
        <v>0</v>
      </c>
      <c r="D38" s="8" t="n">
        <f aca="false">B38+C38</f>
        <v>0</v>
      </c>
      <c r="E38" s="9" t="str">
        <f aca="false">IF(D38&lt;0.2,"Fold",IF(AND(B38&gt;=0.2,C38&gt;=0.2),"3bet/call",IF(B38&gt;=C38,"3bet","Call")))</f>
        <v>Fold</v>
      </c>
      <c r="F38" s="15" t="n">
        <v>0</v>
      </c>
      <c r="G38" s="15" t="n">
        <v>0</v>
      </c>
      <c r="H38" s="8" t="n">
        <f aca="false">F38+G38</f>
        <v>0</v>
      </c>
      <c r="I38" s="9" t="str">
        <f aca="false">IF(H38&lt;0.2,"Fold",IF(AND(F38&gt;=0.2,G38&gt;=0.2),"3bet/call",IF(F38&gt;=G38,"3bet","Call")))</f>
        <v>Fold</v>
      </c>
      <c r="J38" s="15" t="n">
        <v>0</v>
      </c>
      <c r="K38" s="15" t="n">
        <v>0</v>
      </c>
      <c r="L38" s="8" t="n">
        <f aca="false">J38+K38</f>
        <v>0</v>
      </c>
      <c r="M38" s="9" t="str">
        <f aca="false">IF(L38&lt;0.2,"Fold",IF(AND(J38&gt;=0.2,K38&gt;=0.2),"3bet/call",IF(J38&gt;=K38,"3bet","Call")))</f>
        <v>Fold</v>
      </c>
      <c r="N38" s="15" t="n">
        <v>0.75</v>
      </c>
      <c r="O38" s="15" t="n">
        <v>0.25</v>
      </c>
      <c r="P38" s="8" t="n">
        <f aca="false">N38+O38</f>
        <v>1</v>
      </c>
      <c r="Q38" s="9" t="str">
        <f aca="false">IF(P38&lt;0.2,"Fold",IF(AND(N38&gt;=0.2,O38&gt;=0.2),"3bet/call",IF(N38&gt;=O38,"3bet","Call")))</f>
        <v>3bet/call</v>
      </c>
    </row>
    <row r="39" customFormat="false" ht="15" hidden="false" customHeight="true" outlineLevel="0" collapsed="false">
      <c r="A39" s="5" t="s">
        <v>120</v>
      </c>
      <c r="B39" s="15" t="n">
        <v>0</v>
      </c>
      <c r="C39" s="15" t="n">
        <v>0</v>
      </c>
      <c r="D39" s="8" t="n">
        <f aca="false">B39+C39</f>
        <v>0</v>
      </c>
      <c r="E39" s="9" t="str">
        <f aca="false">IF(D39&lt;0.2,"Fold",IF(AND(B39&gt;=0.2,C39&gt;=0.2),"3bet/call",IF(B39&gt;=C39,"3bet","Call")))</f>
        <v>Fold</v>
      </c>
      <c r="F39" s="15" t="n">
        <v>0</v>
      </c>
      <c r="G39" s="15" t="n">
        <v>0</v>
      </c>
      <c r="H39" s="8" t="n">
        <f aca="false">F39+G39</f>
        <v>0</v>
      </c>
      <c r="I39" s="9" t="str">
        <f aca="false">IF(H39&lt;0.2,"Fold",IF(AND(F39&gt;=0.2,G39&gt;=0.2),"3bet/call",IF(F39&gt;=G39,"3bet","Call")))</f>
        <v>Fold</v>
      </c>
      <c r="J39" s="15" t="n">
        <v>0</v>
      </c>
      <c r="K39" s="15" t="n">
        <v>0</v>
      </c>
      <c r="L39" s="8" t="n">
        <f aca="false">J39+K39</f>
        <v>0</v>
      </c>
      <c r="M39" s="9" t="str">
        <f aca="false">IF(L39&lt;0.2,"Fold",IF(AND(J39&gt;=0.2,K39&gt;=0.2),"3bet/call",IF(J39&gt;=K39,"3bet","Call")))</f>
        <v>Fold</v>
      </c>
      <c r="N39" s="15" t="n">
        <v>0.6</v>
      </c>
      <c r="O39" s="15" t="n">
        <v>0.4</v>
      </c>
      <c r="P39" s="8" t="n">
        <f aca="false">N39+O39</f>
        <v>1</v>
      </c>
      <c r="Q39" s="9" t="str">
        <f aca="false">IF(P39&lt;0.2,"Fold",IF(AND(N39&gt;=0.2,O39&gt;=0.2),"3bet/call",IF(N39&gt;=O39,"3bet","Call")))</f>
        <v>3bet/call</v>
      </c>
    </row>
    <row r="40" customFormat="false" ht="15" hidden="false" customHeight="true" outlineLevel="0" collapsed="false">
      <c r="A40" s="5" t="s">
        <v>121</v>
      </c>
      <c r="B40" s="15" t="n">
        <v>0</v>
      </c>
      <c r="C40" s="15" t="n">
        <v>0</v>
      </c>
      <c r="D40" s="8" t="n">
        <f aca="false">B40+C40</f>
        <v>0</v>
      </c>
      <c r="E40" s="9" t="str">
        <f aca="false">IF(D40&lt;0.2,"Fold",IF(AND(B40&gt;=0.2,C40&gt;=0.2),"3bet/call",IF(B40&gt;=C40,"3bet","Call")))</f>
        <v>Fold</v>
      </c>
      <c r="F40" s="15" t="n">
        <v>0</v>
      </c>
      <c r="G40" s="15" t="n">
        <v>0</v>
      </c>
      <c r="H40" s="8" t="n">
        <f aca="false">F40+G40</f>
        <v>0</v>
      </c>
      <c r="I40" s="9" t="str">
        <f aca="false">IF(H40&lt;0.2,"Fold",IF(AND(F40&gt;=0.2,G40&gt;=0.2),"3bet/call",IF(F40&gt;=G40,"3bet","Call")))</f>
        <v>Fold</v>
      </c>
      <c r="J40" s="15" t="n">
        <v>0</v>
      </c>
      <c r="K40" s="15" t="n">
        <v>0</v>
      </c>
      <c r="L40" s="8" t="n">
        <f aca="false">J40+K40</f>
        <v>0</v>
      </c>
      <c r="M40" s="9" t="str">
        <f aca="false">IF(L40&lt;0.2,"Fold",IF(AND(J40&gt;=0.2,K40&gt;=0.2),"3bet/call",IF(J40&gt;=K40,"3bet","Call")))</f>
        <v>Fold</v>
      </c>
      <c r="N40" s="15" t="n">
        <v>0</v>
      </c>
      <c r="O40" s="15" t="n">
        <v>0</v>
      </c>
      <c r="P40" s="8" t="n">
        <f aca="false">N40+O40</f>
        <v>0</v>
      </c>
      <c r="Q40" s="9" t="str">
        <f aca="false">IF(P40&lt;0.2,"Fold",IF(AND(N40&gt;=0.2,O40&gt;=0.2),"3bet/call",IF(N40&gt;=O40,"3bet","Call")))</f>
        <v>Fold</v>
      </c>
    </row>
    <row r="41" customFormat="false" ht="15" hidden="false" customHeight="true" outlineLevel="0" collapsed="false">
      <c r="A41" s="5" t="s">
        <v>122</v>
      </c>
      <c r="B41" s="15" t="n">
        <v>0</v>
      </c>
      <c r="C41" s="15" t="n">
        <v>0</v>
      </c>
      <c r="D41" s="8" t="n">
        <f aca="false">B41+C41</f>
        <v>0</v>
      </c>
      <c r="E41" s="9" t="str">
        <f aca="false">IF(D41&lt;0.2,"Fold",IF(AND(B41&gt;=0.2,C41&gt;=0.2),"3bet/call",IF(B41&gt;=C41,"3bet","Call")))</f>
        <v>Fold</v>
      </c>
      <c r="F41" s="15" t="n">
        <v>0</v>
      </c>
      <c r="G41" s="15" t="n">
        <v>0</v>
      </c>
      <c r="H41" s="8" t="n">
        <f aca="false">F41+G41</f>
        <v>0</v>
      </c>
      <c r="I41" s="9" t="str">
        <f aca="false">IF(H41&lt;0.2,"Fold",IF(AND(F41&gt;=0.2,G41&gt;=0.2),"3bet/call",IF(F41&gt;=G41,"3bet","Call")))</f>
        <v>Fold</v>
      </c>
      <c r="J41" s="15" t="n">
        <v>0</v>
      </c>
      <c r="K41" s="15" t="n">
        <v>0</v>
      </c>
      <c r="L41" s="8" t="n">
        <f aca="false">J41+K41</f>
        <v>0</v>
      </c>
      <c r="M41" s="9" t="str">
        <f aca="false">IF(L41&lt;0.2,"Fold",IF(AND(J41&gt;=0.2,K41&gt;=0.2),"3bet/call",IF(J41&gt;=K41,"3bet","Call")))</f>
        <v>Fold</v>
      </c>
      <c r="N41" s="15" t="n">
        <v>0</v>
      </c>
      <c r="O41" s="15" t="n">
        <v>0</v>
      </c>
      <c r="P41" s="8" t="n">
        <f aca="false">N41+O41</f>
        <v>0</v>
      </c>
      <c r="Q41" s="9" t="str">
        <f aca="false">IF(P41&lt;0.2,"Fold",IF(AND(N41&gt;=0.2,O41&gt;=0.2),"3bet/call",IF(N41&gt;=O41,"3bet","Call")))</f>
        <v>Fold</v>
      </c>
    </row>
    <row r="42" customFormat="false" ht="15" hidden="false" customHeight="true" outlineLevel="0" collapsed="false">
      <c r="A42" s="5" t="s">
        <v>123</v>
      </c>
      <c r="B42" s="15" t="n">
        <v>0</v>
      </c>
      <c r="C42" s="15" t="n">
        <v>0</v>
      </c>
      <c r="D42" s="8" t="n">
        <f aca="false">B42+C42</f>
        <v>0</v>
      </c>
      <c r="E42" s="9" t="str">
        <f aca="false">IF(D42&lt;0.2,"Fold",IF(AND(B42&gt;=0.2,C42&gt;=0.2),"3bet/call",IF(B42&gt;=C42,"3bet","Call")))</f>
        <v>Fold</v>
      </c>
      <c r="F42" s="15" t="n">
        <v>0</v>
      </c>
      <c r="G42" s="15" t="n">
        <v>0</v>
      </c>
      <c r="H42" s="8" t="n">
        <f aca="false">F42+G42</f>
        <v>0</v>
      </c>
      <c r="I42" s="9" t="str">
        <f aca="false">IF(H42&lt;0.2,"Fold",IF(AND(F42&gt;=0.2,G42&gt;=0.2),"3bet/call",IF(F42&gt;=G42,"3bet","Call")))</f>
        <v>Fold</v>
      </c>
      <c r="J42" s="15" t="n">
        <v>0</v>
      </c>
      <c r="K42" s="15" t="n">
        <v>0</v>
      </c>
      <c r="L42" s="8" t="n">
        <f aca="false">J42+K42</f>
        <v>0</v>
      </c>
      <c r="M42" s="9" t="str">
        <f aca="false">IF(L42&lt;0.2,"Fold",IF(AND(J42&gt;=0.2,K42&gt;=0.2),"3bet/call",IF(J42&gt;=K42,"3bet","Call")))</f>
        <v>Fold</v>
      </c>
      <c r="N42" s="15" t="n">
        <v>0</v>
      </c>
      <c r="O42" s="15" t="n">
        <v>0</v>
      </c>
      <c r="P42" s="8" t="n">
        <f aca="false">N42+O42</f>
        <v>0</v>
      </c>
      <c r="Q42" s="9" t="str">
        <f aca="false">IF(P42&lt;0.2,"Fold",IF(AND(N42&gt;=0.2,O42&gt;=0.2),"3bet/call",IF(N42&gt;=O42,"3bet","Call")))</f>
        <v>Fold</v>
      </c>
    </row>
    <row r="43" customFormat="false" ht="15" hidden="false" customHeight="true" outlineLevel="0" collapsed="false">
      <c r="A43" s="5" t="s">
        <v>124</v>
      </c>
      <c r="B43" s="15" t="n">
        <v>0</v>
      </c>
      <c r="C43" s="15" t="n">
        <v>0</v>
      </c>
      <c r="D43" s="8" t="n">
        <f aca="false">B43+C43</f>
        <v>0</v>
      </c>
      <c r="E43" s="9" t="str">
        <f aca="false">IF(D43&lt;0.2,"Fold",IF(AND(B43&gt;=0.2,C43&gt;=0.2),"3bet/call",IF(B43&gt;=C43,"3bet","Call")))</f>
        <v>Fold</v>
      </c>
      <c r="F43" s="15" t="n">
        <v>0</v>
      </c>
      <c r="G43" s="15" t="n">
        <v>0</v>
      </c>
      <c r="H43" s="8" t="n">
        <f aca="false">F43+G43</f>
        <v>0</v>
      </c>
      <c r="I43" s="9" t="str">
        <f aca="false">IF(H43&lt;0.2,"Fold",IF(AND(F43&gt;=0.2,G43&gt;=0.2),"3bet/call",IF(F43&gt;=G43,"3bet","Call")))</f>
        <v>Fold</v>
      </c>
      <c r="J43" s="15" t="n">
        <v>0</v>
      </c>
      <c r="K43" s="15" t="n">
        <v>0</v>
      </c>
      <c r="L43" s="8" t="n">
        <f aca="false">J43+K43</f>
        <v>0</v>
      </c>
      <c r="M43" s="9" t="str">
        <f aca="false">IF(L43&lt;0.2,"Fold",IF(AND(J43&gt;=0.2,K43&gt;=0.2),"3bet/call",IF(J43&gt;=K43,"3bet","Call")))</f>
        <v>Fold</v>
      </c>
      <c r="N43" s="15" t="n">
        <v>0</v>
      </c>
      <c r="O43" s="15" t="n">
        <v>0</v>
      </c>
      <c r="P43" s="8" t="n">
        <f aca="false">N43+O43</f>
        <v>0</v>
      </c>
      <c r="Q43" s="9" t="str">
        <f aca="false">IF(P43&lt;0.2,"Fold",IF(AND(N43&gt;=0.2,O43&gt;=0.2),"3bet/call",IF(N43&gt;=O43,"3bet","Call")))</f>
        <v>Fold</v>
      </c>
    </row>
    <row r="44" customFormat="false" ht="15" hidden="false" customHeight="true" outlineLevel="0" collapsed="false">
      <c r="A44" s="5" t="s">
        <v>125</v>
      </c>
      <c r="B44" s="15" t="n">
        <v>0.75</v>
      </c>
      <c r="C44" s="15" t="n">
        <v>0.25</v>
      </c>
      <c r="D44" s="8" t="n">
        <f aca="false">B44+C44</f>
        <v>1</v>
      </c>
      <c r="E44" s="9" t="str">
        <f aca="false">IF(D44&lt;0.2,"Fold",IF(AND(B44&gt;=0.2,C44&gt;=0.2),"3bet/call",IF(B44&gt;=C44,"3bet","Call")))</f>
        <v>3bet/call</v>
      </c>
      <c r="F44" s="15" t="n">
        <v>0.65</v>
      </c>
      <c r="G44" s="15" t="n">
        <v>0.35</v>
      </c>
      <c r="H44" s="8" t="n">
        <f aca="false">F44+G44</f>
        <v>1</v>
      </c>
      <c r="I44" s="9" t="str">
        <f aca="false">IF(H44&lt;0.2,"Fold",IF(AND(F44&gt;=0.2,G44&gt;=0.2),"3bet/call",IF(F44&gt;=G44,"3bet","Call")))</f>
        <v>3bet/call</v>
      </c>
      <c r="J44" s="15" t="n">
        <v>0.4</v>
      </c>
      <c r="K44" s="15" t="n">
        <v>0.6</v>
      </c>
      <c r="L44" s="8" t="n">
        <f aca="false">J44+K44</f>
        <v>1</v>
      </c>
      <c r="M44" s="9" t="str">
        <f aca="false">IF(L44&lt;0.2,"Fold",IF(AND(J44&gt;=0.2,K44&gt;=0.2),"3bet/call",IF(J44&gt;=K44,"3bet","Call")))</f>
        <v>3bet/call</v>
      </c>
      <c r="N44" s="15" t="n">
        <v>1</v>
      </c>
      <c r="O44" s="15" t="n">
        <v>0</v>
      </c>
      <c r="P44" s="8" t="n">
        <f aca="false">N44+O44</f>
        <v>1</v>
      </c>
      <c r="Q44" s="9" t="str">
        <f aca="false">IF(P44&lt;0.2,"Fold",IF(AND(N44&gt;=0.2,O44&gt;=0.2),"3bet/call",IF(N44&gt;=O44,"3bet","Call")))</f>
        <v>3bet</v>
      </c>
    </row>
    <row r="45" customFormat="false" ht="15" hidden="false" customHeight="true" outlineLevel="0" collapsed="false">
      <c r="A45" s="5" t="s">
        <v>126</v>
      </c>
      <c r="B45" s="15" t="n">
        <v>0</v>
      </c>
      <c r="C45" s="15" t="n">
        <v>0</v>
      </c>
      <c r="D45" s="8" t="n">
        <f aca="false">B45+C45</f>
        <v>0</v>
      </c>
      <c r="E45" s="9" t="str">
        <f aca="false">IF(D45&lt;0.2,"Fold",IF(AND(B45&gt;=0.2,C45&gt;=0.2),"3bet/call",IF(B45&gt;=C45,"3bet","Call")))</f>
        <v>Fold</v>
      </c>
      <c r="F45" s="15" t="n">
        <v>0.3</v>
      </c>
      <c r="G45" s="15" t="n">
        <v>0.2</v>
      </c>
      <c r="H45" s="8" t="n">
        <f aca="false">F45+G45</f>
        <v>0.5</v>
      </c>
      <c r="I45" s="9" t="str">
        <f aca="false">IF(H45&lt;0.2,"Fold",IF(AND(F45&gt;=0.2,G45&gt;=0.2),"3bet/call",IF(F45&gt;=G45,"3bet","Call")))</f>
        <v>3bet/call</v>
      </c>
      <c r="J45" s="15" t="n">
        <v>0.2</v>
      </c>
      <c r="K45" s="15" t="n">
        <v>0.8</v>
      </c>
      <c r="L45" s="8" t="n">
        <f aca="false">J45+K45</f>
        <v>1</v>
      </c>
      <c r="M45" s="9" t="str">
        <f aca="false">IF(L45&lt;0.2,"Fold",IF(AND(J45&gt;=0.2,K45&gt;=0.2),"3bet/call",IF(J45&gt;=K45,"3bet","Call")))</f>
        <v>3bet/call</v>
      </c>
      <c r="N45" s="15" t="n">
        <v>0.6</v>
      </c>
      <c r="O45" s="15" t="n">
        <v>0.4</v>
      </c>
      <c r="P45" s="8" t="n">
        <f aca="false">N45+O45</f>
        <v>1</v>
      </c>
      <c r="Q45" s="9" t="str">
        <f aca="false">IF(P45&lt;0.2,"Fold",IF(AND(N45&gt;=0.2,O45&gt;=0.2),"3bet/call",IF(N45&gt;=O45,"3bet","Call")))</f>
        <v>3bet/call</v>
      </c>
    </row>
    <row r="46" customFormat="false" ht="15" hidden="false" customHeight="true" outlineLevel="0" collapsed="false">
      <c r="A46" s="5" t="s">
        <v>127</v>
      </c>
      <c r="B46" s="15" t="n">
        <v>0</v>
      </c>
      <c r="C46" s="15" t="n">
        <v>0</v>
      </c>
      <c r="D46" s="8" t="n">
        <f aca="false">B46+C46</f>
        <v>0</v>
      </c>
      <c r="E46" s="9" t="str">
        <f aca="false">IF(D46&lt;0.2,"Fold",IF(AND(B46&gt;=0.2,C46&gt;=0.2),"3bet/call",IF(B46&gt;=C46,"3bet","Call")))</f>
        <v>Fold</v>
      </c>
      <c r="F46" s="15" t="n">
        <v>0</v>
      </c>
      <c r="G46" s="15" t="n">
        <v>0</v>
      </c>
      <c r="H46" s="8" t="n">
        <f aca="false">F46+G46</f>
        <v>0</v>
      </c>
      <c r="I46" s="9" t="str">
        <f aca="false">IF(H46&lt;0.2,"Fold",IF(AND(F46&gt;=0.2,G46&gt;=0.2),"3bet/call",IF(F46&gt;=G46,"3bet","Call")))</f>
        <v>Fold</v>
      </c>
      <c r="J46" s="15" t="n">
        <v>0.45</v>
      </c>
      <c r="K46" s="15" t="n">
        <v>0.55</v>
      </c>
      <c r="L46" s="8" t="n">
        <f aca="false">J46+K46</f>
        <v>1</v>
      </c>
      <c r="M46" s="9" t="str">
        <f aca="false">IF(L46&lt;0.2,"Fold",IF(AND(J46&gt;=0.2,K46&gt;=0.2),"3bet/call",IF(J46&gt;=K46,"3bet","Call")))</f>
        <v>3bet/call</v>
      </c>
      <c r="N46" s="15" t="n">
        <v>0.6</v>
      </c>
      <c r="O46" s="15" t="n">
        <v>0.4</v>
      </c>
      <c r="P46" s="8" t="n">
        <f aca="false">N46+O46</f>
        <v>1</v>
      </c>
      <c r="Q46" s="9" t="str">
        <f aca="false">IF(P46&lt;0.2,"Fold",IF(AND(N46&gt;=0.2,O46&gt;=0.2),"3bet/call",IF(N46&gt;=O46,"3bet","Call")))</f>
        <v>3bet/call</v>
      </c>
    </row>
    <row r="47" customFormat="false" ht="15" hidden="false" customHeight="true" outlineLevel="0" collapsed="false">
      <c r="A47" s="5" t="s">
        <v>128</v>
      </c>
      <c r="B47" s="15" t="n">
        <v>0.95</v>
      </c>
      <c r="C47" s="15" t="n">
        <v>0.05</v>
      </c>
      <c r="D47" s="8" t="n">
        <f aca="false">B47+C47</f>
        <v>1</v>
      </c>
      <c r="E47" s="9" t="str">
        <f aca="false">IF(D47&lt;0.2,"Fold",IF(AND(B47&gt;=0.2,C47&gt;=0.2),"3bet/call",IF(B47&gt;=C47,"3bet","Call")))</f>
        <v>3bet</v>
      </c>
      <c r="F47" s="15" t="n">
        <v>0.9</v>
      </c>
      <c r="G47" s="15" t="n">
        <v>0.1</v>
      </c>
      <c r="H47" s="8" t="n">
        <f aca="false">F47+G47</f>
        <v>1</v>
      </c>
      <c r="I47" s="9" t="str">
        <f aca="false">IF(H47&lt;0.2,"Fold",IF(AND(F47&gt;=0.2,G47&gt;=0.2),"3bet/call",IF(F47&gt;=G47,"3bet","Call")))</f>
        <v>3bet</v>
      </c>
      <c r="J47" s="15" t="n">
        <v>0.85</v>
      </c>
      <c r="K47" s="15" t="n">
        <v>0.15</v>
      </c>
      <c r="L47" s="8" t="n">
        <f aca="false">J47+K47</f>
        <v>1</v>
      </c>
      <c r="M47" s="9" t="str">
        <f aca="false">IF(L47&lt;0.2,"Fold",IF(AND(J47&gt;=0.2,K47&gt;=0.2),"3bet/call",IF(J47&gt;=K47,"3bet","Call")))</f>
        <v>3bet</v>
      </c>
      <c r="N47" s="15" t="n">
        <v>1</v>
      </c>
      <c r="O47" s="15" t="n">
        <v>0</v>
      </c>
      <c r="P47" s="8" t="n">
        <f aca="false">N47+O47</f>
        <v>1</v>
      </c>
      <c r="Q47" s="9" t="str">
        <f aca="false">IF(P47&lt;0.2,"Fold",IF(AND(N47&gt;=0.2,O47&gt;=0.2),"3bet/call",IF(N47&gt;=O47,"3bet","Call")))</f>
        <v>3bet</v>
      </c>
    </row>
    <row r="48" customFormat="false" ht="15" hidden="false" customHeight="true" outlineLevel="0" collapsed="false">
      <c r="A48" s="5" t="s">
        <v>129</v>
      </c>
      <c r="B48" s="15" t="n">
        <v>0.6</v>
      </c>
      <c r="C48" s="15" t="n">
        <v>0.4</v>
      </c>
      <c r="D48" s="8" t="n">
        <f aca="false">B48+C48</f>
        <v>1</v>
      </c>
      <c r="E48" s="9" t="str">
        <f aca="false">IF(D48&lt;0.2,"Fold",IF(AND(B48&gt;=0.2,C48&gt;=0.2),"3bet/call",IF(B48&gt;=C48,"3bet","Call")))</f>
        <v>3bet/call</v>
      </c>
      <c r="F48" s="15" t="n">
        <v>0.3</v>
      </c>
      <c r="G48" s="15" t="n">
        <v>0.7</v>
      </c>
      <c r="H48" s="8" t="n">
        <f aca="false">F48+G48</f>
        <v>1</v>
      </c>
      <c r="I48" s="9" t="str">
        <f aca="false">IF(H48&lt;0.2,"Fold",IF(AND(F48&gt;=0.2,G48&gt;=0.2),"3bet/call",IF(F48&gt;=G48,"3bet","Call")))</f>
        <v>3bet/call</v>
      </c>
      <c r="J48" s="15" t="n">
        <v>0</v>
      </c>
      <c r="K48" s="15" t="n">
        <v>1</v>
      </c>
      <c r="L48" s="8" t="n">
        <f aca="false">J48+K48</f>
        <v>1</v>
      </c>
      <c r="M48" s="9" t="str">
        <f aca="false">IF(L48&lt;0.2,"Fold",IF(AND(J48&gt;=0.2,K48&gt;=0.2),"3bet/call",IF(J48&gt;=K48,"3bet","Call")))</f>
        <v>Call</v>
      </c>
      <c r="N48" s="15" t="n">
        <v>1</v>
      </c>
      <c r="O48" s="15" t="n">
        <v>0</v>
      </c>
      <c r="P48" s="8" t="n">
        <f aca="false">N48+O48</f>
        <v>1</v>
      </c>
      <c r="Q48" s="9" t="str">
        <f aca="false">IF(P48&lt;0.2,"Fold",IF(AND(N48&gt;=0.2,O48&gt;=0.2),"3bet/call",IF(N48&gt;=O48,"3bet","Call")))</f>
        <v>3bet</v>
      </c>
    </row>
    <row r="49" customFormat="false" ht="15" hidden="false" customHeight="true" outlineLevel="0" collapsed="false">
      <c r="A49" s="5" t="s">
        <v>130</v>
      </c>
      <c r="B49" s="15" t="n">
        <v>0.1</v>
      </c>
      <c r="C49" s="15" t="n">
        <v>0</v>
      </c>
      <c r="D49" s="8" t="n">
        <f aca="false">B49+C49</f>
        <v>0.1</v>
      </c>
      <c r="E49" s="9" t="str">
        <f aca="false">IF(D49&lt;0.2,"Fold",IF(AND(B49&gt;=0.2,C49&gt;=0.2),"3bet/call",IF(B49&gt;=C49,"3bet","Call")))</f>
        <v>Fold</v>
      </c>
      <c r="F49" s="15" t="n">
        <v>0.7</v>
      </c>
      <c r="G49" s="15" t="n">
        <v>0.3</v>
      </c>
      <c r="H49" s="8" t="n">
        <f aca="false">F49+G49</f>
        <v>1</v>
      </c>
      <c r="I49" s="9" t="str">
        <f aca="false">IF(H49&lt;0.2,"Fold",IF(AND(F49&gt;=0.2,G49&gt;=0.2),"3bet/call",IF(F49&gt;=G49,"3bet","Call")))</f>
        <v>3bet/call</v>
      </c>
      <c r="J49" s="15" t="n">
        <v>0.05</v>
      </c>
      <c r="K49" s="15" t="n">
        <v>0.95</v>
      </c>
      <c r="L49" s="8" t="n">
        <f aca="false">J49+K49</f>
        <v>1</v>
      </c>
      <c r="M49" s="9" t="str">
        <f aca="false">IF(L49&lt;0.2,"Fold",IF(AND(J49&gt;=0.2,K49&gt;=0.2),"3bet/call",IF(J49&gt;=K49,"3bet","Call")))</f>
        <v>Call</v>
      </c>
      <c r="N49" s="15" t="n">
        <v>0.05</v>
      </c>
      <c r="O49" s="15" t="n">
        <v>0.95</v>
      </c>
      <c r="P49" s="8" t="n">
        <f aca="false">N49+O49</f>
        <v>1</v>
      </c>
      <c r="Q49" s="9" t="str">
        <f aca="false">IF(P49&lt;0.2,"Fold",IF(AND(N49&gt;=0.2,O49&gt;=0.2),"3bet/call",IF(N49&gt;=O49,"3bet","Call")))</f>
        <v>Call</v>
      </c>
    </row>
    <row r="50" customFormat="false" ht="15" hidden="false" customHeight="true" outlineLevel="0" collapsed="false">
      <c r="A50" s="5" t="s">
        <v>131</v>
      </c>
      <c r="B50" s="15" t="n">
        <v>0</v>
      </c>
      <c r="C50" s="15" t="n">
        <v>0</v>
      </c>
      <c r="D50" s="8" t="n">
        <f aca="false">B50+C50</f>
        <v>0</v>
      </c>
      <c r="E50" s="9" t="str">
        <f aca="false">IF(D50&lt;0.2,"Fold",IF(AND(B50&gt;=0.2,C50&gt;=0.2),"3bet/call",IF(B50&gt;=C50,"3bet","Call")))</f>
        <v>Fold</v>
      </c>
      <c r="F50" s="15" t="n">
        <v>0</v>
      </c>
      <c r="G50" s="15" t="n">
        <v>0</v>
      </c>
      <c r="H50" s="8" t="n">
        <f aca="false">F50+G50</f>
        <v>0</v>
      </c>
      <c r="I50" s="9" t="str">
        <f aca="false">IF(H50&lt;0.2,"Fold",IF(AND(F50&gt;=0.2,G50&gt;=0.2),"3bet/call",IF(F50&gt;=G50,"3bet","Call")))</f>
        <v>Fold</v>
      </c>
      <c r="J50" s="15" t="n">
        <v>0.65</v>
      </c>
      <c r="K50" s="15" t="n">
        <v>0.35</v>
      </c>
      <c r="L50" s="8" t="n">
        <f aca="false">J50+K50</f>
        <v>1</v>
      </c>
      <c r="M50" s="9" t="str">
        <f aca="false">IF(L50&lt;0.2,"Fold",IF(AND(J50&gt;=0.2,K50&gt;=0.2),"3bet/call",IF(J50&gt;=K50,"3bet","Call")))</f>
        <v>3bet/call</v>
      </c>
      <c r="N50" s="15" t="n">
        <v>0.45</v>
      </c>
      <c r="O50" s="15" t="n">
        <v>0.55</v>
      </c>
      <c r="P50" s="8" t="n">
        <f aca="false">N50+O50</f>
        <v>1</v>
      </c>
      <c r="Q50" s="9" t="str">
        <f aca="false">IF(P50&lt;0.2,"Fold",IF(AND(N50&gt;=0.2,O50&gt;=0.2),"3bet/call",IF(N50&gt;=O50,"3bet","Call")))</f>
        <v>3bet/call</v>
      </c>
    </row>
    <row r="51" customFormat="false" ht="15" hidden="false" customHeight="true" outlineLevel="0" collapsed="false">
      <c r="A51" s="5" t="s">
        <v>132</v>
      </c>
      <c r="B51" s="15" t="n">
        <v>0</v>
      </c>
      <c r="C51" s="15" t="n">
        <v>0</v>
      </c>
      <c r="D51" s="8" t="n">
        <f aca="false">B51+C51</f>
        <v>0</v>
      </c>
      <c r="E51" s="9" t="str">
        <f aca="false">IF(D51&lt;0.2,"Fold",IF(AND(B51&gt;=0.2,C51&gt;=0.2),"3bet/call",IF(B51&gt;=C51,"3bet","Call")))</f>
        <v>Fold</v>
      </c>
      <c r="F51" s="15" t="n">
        <v>0</v>
      </c>
      <c r="G51" s="15" t="n">
        <v>0</v>
      </c>
      <c r="H51" s="8" t="n">
        <f aca="false">F51+G51</f>
        <v>0</v>
      </c>
      <c r="I51" s="9" t="str">
        <f aca="false">IF(H51&lt;0.2,"Fold",IF(AND(F51&gt;=0.2,G51&gt;=0.2),"3bet/call",IF(F51&gt;=G51,"3bet","Call")))</f>
        <v>Fold</v>
      </c>
      <c r="J51" s="15" t="n">
        <v>0</v>
      </c>
      <c r="K51" s="15" t="n">
        <v>0</v>
      </c>
      <c r="L51" s="8" t="n">
        <f aca="false">J51+K51</f>
        <v>0</v>
      </c>
      <c r="M51" s="9" t="str">
        <f aca="false">IF(L51&lt;0.2,"Fold",IF(AND(J51&gt;=0.2,K51&gt;=0.2),"3bet/call",IF(J51&gt;=K51,"3bet","Call")))</f>
        <v>Fold</v>
      </c>
      <c r="N51" s="15" t="n">
        <v>0</v>
      </c>
      <c r="O51" s="15" t="n">
        <v>0</v>
      </c>
      <c r="P51" s="8" t="n">
        <f aca="false">N51+O51</f>
        <v>0</v>
      </c>
      <c r="Q51" s="9" t="str">
        <f aca="false">IF(P51&lt;0.2,"Fold",IF(AND(N51&gt;=0.2,O51&gt;=0.2),"3bet/call",IF(N51&gt;=O51,"3bet","Call")))</f>
        <v>Fold</v>
      </c>
    </row>
    <row r="52" customFormat="false" ht="15" hidden="false" customHeight="true" outlineLevel="0" collapsed="false">
      <c r="A52" s="5" t="s">
        <v>133</v>
      </c>
      <c r="B52" s="15" t="n">
        <v>0</v>
      </c>
      <c r="C52" s="15" t="n">
        <v>0</v>
      </c>
      <c r="D52" s="8" t="n">
        <f aca="false">B52+C52</f>
        <v>0</v>
      </c>
      <c r="E52" s="9" t="str">
        <f aca="false">IF(D52&lt;0.2,"Fold",IF(AND(B52&gt;=0.2,C52&gt;=0.2),"3bet/call",IF(B52&gt;=C52,"3bet","Call")))</f>
        <v>Fold</v>
      </c>
      <c r="F52" s="15" t="n">
        <v>0</v>
      </c>
      <c r="G52" s="15" t="n">
        <v>0</v>
      </c>
      <c r="H52" s="8" t="n">
        <f aca="false">F52+G52</f>
        <v>0</v>
      </c>
      <c r="I52" s="9" t="str">
        <f aca="false">IF(H52&lt;0.2,"Fold",IF(AND(F52&gt;=0.2,G52&gt;=0.2),"3bet/call",IF(F52&gt;=G52,"3bet","Call")))</f>
        <v>Fold</v>
      </c>
      <c r="J52" s="15" t="n">
        <v>0</v>
      </c>
      <c r="K52" s="15" t="n">
        <v>0</v>
      </c>
      <c r="L52" s="8" t="n">
        <f aca="false">J52+K52</f>
        <v>0</v>
      </c>
      <c r="M52" s="9" t="str">
        <f aca="false">IF(L52&lt;0.2,"Fold",IF(AND(J52&gt;=0.2,K52&gt;=0.2),"3bet/call",IF(J52&gt;=K52,"3bet","Call")))</f>
        <v>Fold</v>
      </c>
      <c r="N52" s="15" t="n">
        <v>0</v>
      </c>
      <c r="O52" s="15" t="n">
        <v>0</v>
      </c>
      <c r="P52" s="8" t="n">
        <f aca="false">N52+O52</f>
        <v>0</v>
      </c>
      <c r="Q52" s="9" t="str">
        <f aca="false">IF(P52&lt;0.2,"Fold",IF(AND(N52&gt;=0.2,O52&gt;=0.2),"3bet/call",IF(N52&gt;=O52,"3bet","Call")))</f>
        <v>Fold</v>
      </c>
    </row>
    <row r="53" customFormat="false" ht="15" hidden="false" customHeight="true" outlineLevel="0" collapsed="false">
      <c r="A53" s="5" t="s">
        <v>134</v>
      </c>
      <c r="B53" s="15" t="n">
        <v>0</v>
      </c>
      <c r="C53" s="15" t="n">
        <v>0</v>
      </c>
      <c r="D53" s="8" t="n">
        <f aca="false">B53+C53</f>
        <v>0</v>
      </c>
      <c r="E53" s="9" t="str">
        <f aca="false">IF(D53&lt;0.2,"Fold",IF(AND(B53&gt;=0.2,C53&gt;=0.2),"3bet/call",IF(B53&gt;=C53,"3bet","Call")))</f>
        <v>Fold</v>
      </c>
      <c r="F53" s="15" t="n">
        <v>0</v>
      </c>
      <c r="G53" s="15" t="n">
        <v>0</v>
      </c>
      <c r="H53" s="8" t="n">
        <f aca="false">F53+G53</f>
        <v>0</v>
      </c>
      <c r="I53" s="9" t="str">
        <f aca="false">IF(H53&lt;0.2,"Fold",IF(AND(F53&gt;=0.2,G53&gt;=0.2),"3bet/call",IF(F53&gt;=G53,"3bet","Call")))</f>
        <v>Fold</v>
      </c>
      <c r="J53" s="15" t="n">
        <v>0</v>
      </c>
      <c r="K53" s="15" t="n">
        <v>0</v>
      </c>
      <c r="L53" s="8" t="n">
        <f aca="false">J53+K53</f>
        <v>0</v>
      </c>
      <c r="M53" s="9" t="str">
        <f aca="false">IF(L53&lt;0.2,"Fold",IF(AND(J53&gt;=0.2,K53&gt;=0.2),"3bet/call",IF(J53&gt;=K53,"3bet","Call")))</f>
        <v>Fold</v>
      </c>
      <c r="N53" s="15" t="n">
        <v>0</v>
      </c>
      <c r="O53" s="15" t="n">
        <v>0</v>
      </c>
      <c r="P53" s="8" t="n">
        <f aca="false">N53+O53</f>
        <v>0</v>
      </c>
      <c r="Q53" s="9" t="str">
        <f aca="false">IF(P53&lt;0.2,"Fold",IF(AND(N53&gt;=0.2,O53&gt;=0.2),"3bet/call",IF(N53&gt;=O53,"3bet","Call")))</f>
        <v>Fold</v>
      </c>
    </row>
    <row r="54" customFormat="false" ht="15" hidden="false" customHeight="true" outlineLevel="0" collapsed="false">
      <c r="A54" s="5" t="s">
        <v>135</v>
      </c>
      <c r="B54" s="15" t="n">
        <v>0</v>
      </c>
      <c r="C54" s="15" t="n">
        <v>0</v>
      </c>
      <c r="D54" s="8" t="n">
        <f aca="false">B54+C54</f>
        <v>0</v>
      </c>
      <c r="E54" s="9" t="str">
        <f aca="false">IF(D54&lt;0.2,"Fold",IF(AND(B54&gt;=0.2,C54&gt;=0.2),"3bet/call",IF(B54&gt;=C54,"3bet","Call")))</f>
        <v>Fold</v>
      </c>
      <c r="F54" s="15" t="n">
        <v>0</v>
      </c>
      <c r="G54" s="15" t="n">
        <v>0</v>
      </c>
      <c r="H54" s="8" t="n">
        <f aca="false">F54+G54</f>
        <v>0</v>
      </c>
      <c r="I54" s="9" t="str">
        <f aca="false">IF(H54&lt;0.2,"Fold",IF(AND(F54&gt;=0.2,G54&gt;=0.2),"3bet/call",IF(F54&gt;=G54,"3bet","Call")))</f>
        <v>Fold</v>
      </c>
      <c r="J54" s="15" t="n">
        <v>0</v>
      </c>
      <c r="K54" s="15" t="n">
        <v>0</v>
      </c>
      <c r="L54" s="8" t="n">
        <f aca="false">J54+K54</f>
        <v>0</v>
      </c>
      <c r="M54" s="9" t="str">
        <f aca="false">IF(L54&lt;0.2,"Fold",IF(AND(J54&gt;=0.2,K54&gt;=0.2),"3bet/call",IF(J54&gt;=K54,"3bet","Call")))</f>
        <v>Fold</v>
      </c>
      <c r="N54" s="15" t="n">
        <v>0</v>
      </c>
      <c r="O54" s="15" t="n">
        <v>0</v>
      </c>
      <c r="P54" s="8" t="n">
        <f aca="false">N54+O54</f>
        <v>0</v>
      </c>
      <c r="Q54" s="9" t="str">
        <f aca="false">IF(P54&lt;0.2,"Fold",IF(AND(N54&gt;=0.2,O54&gt;=0.2),"3bet/call",IF(N54&gt;=O54,"3bet","Call")))</f>
        <v>Fold</v>
      </c>
    </row>
    <row r="55" customFormat="false" ht="15" hidden="false" customHeight="true" outlineLevel="0" collapsed="false">
      <c r="A55" s="5" t="s">
        <v>136</v>
      </c>
      <c r="B55" s="15" t="n">
        <v>0</v>
      </c>
      <c r="C55" s="15" t="n">
        <v>0</v>
      </c>
      <c r="D55" s="8" t="n">
        <f aca="false">B55+C55</f>
        <v>0</v>
      </c>
      <c r="E55" s="9" t="str">
        <f aca="false">IF(D55&lt;0.2,"Fold",IF(AND(B55&gt;=0.2,C55&gt;=0.2),"3bet/call",IF(B55&gt;=C55,"3bet","Call")))</f>
        <v>Fold</v>
      </c>
      <c r="F55" s="15" t="n">
        <v>0</v>
      </c>
      <c r="G55" s="15" t="n">
        <v>0</v>
      </c>
      <c r="H55" s="8" t="n">
        <f aca="false">F55+G55</f>
        <v>0</v>
      </c>
      <c r="I55" s="9" t="str">
        <f aca="false">IF(H55&lt;0.2,"Fold",IF(AND(F55&gt;=0.2,G55&gt;=0.2),"3bet/call",IF(F55&gt;=G55,"3bet","Call")))</f>
        <v>Fold</v>
      </c>
      <c r="J55" s="15" t="n">
        <v>0</v>
      </c>
      <c r="K55" s="15" t="n">
        <v>0</v>
      </c>
      <c r="L55" s="8" t="n">
        <f aca="false">J55+K55</f>
        <v>0</v>
      </c>
      <c r="M55" s="9" t="str">
        <f aca="false">IF(L55&lt;0.2,"Fold",IF(AND(J55&gt;=0.2,K55&gt;=0.2),"3bet/call",IF(J55&gt;=K55,"3bet","Call")))</f>
        <v>Fold</v>
      </c>
      <c r="N55" s="15" t="n">
        <v>0</v>
      </c>
      <c r="O55" s="15" t="n">
        <v>0</v>
      </c>
      <c r="P55" s="8" t="n">
        <f aca="false">N55+O55</f>
        <v>0</v>
      </c>
      <c r="Q55" s="9" t="str">
        <f aca="false">IF(P55&lt;0.2,"Fold",IF(AND(N55&gt;=0.2,O55&gt;=0.2),"3bet/call",IF(N55&gt;=O55,"3bet","Call")))</f>
        <v>Fold</v>
      </c>
    </row>
    <row r="56" customFormat="false" ht="15" hidden="false" customHeight="true" outlineLevel="0" collapsed="false">
      <c r="A56" s="5" t="s">
        <v>137</v>
      </c>
      <c r="B56" s="15" t="n">
        <v>0</v>
      </c>
      <c r="C56" s="15" t="n">
        <v>0</v>
      </c>
      <c r="D56" s="8" t="n">
        <f aca="false">B56+C56</f>
        <v>0</v>
      </c>
      <c r="E56" s="9" t="str">
        <f aca="false">IF(D56&lt;0.2,"Fold",IF(AND(B56&gt;=0.2,C56&gt;=0.2),"3bet/call",IF(B56&gt;=C56,"3bet","Call")))</f>
        <v>Fold</v>
      </c>
      <c r="F56" s="15" t="n">
        <v>0</v>
      </c>
      <c r="G56" s="15" t="n">
        <v>0</v>
      </c>
      <c r="H56" s="8" t="n">
        <f aca="false">F56+G56</f>
        <v>0</v>
      </c>
      <c r="I56" s="9" t="str">
        <f aca="false">IF(H56&lt;0.2,"Fold",IF(AND(F56&gt;=0.2,G56&gt;=0.2),"3bet/call",IF(F56&gt;=G56,"3bet","Call")))</f>
        <v>Fold</v>
      </c>
      <c r="J56" s="15" t="n">
        <v>0</v>
      </c>
      <c r="K56" s="15" t="n">
        <v>0</v>
      </c>
      <c r="L56" s="8" t="n">
        <f aca="false">J56+K56</f>
        <v>0</v>
      </c>
      <c r="M56" s="9" t="str">
        <f aca="false">IF(L56&lt;0.2,"Fold",IF(AND(J56&gt;=0.2,K56&gt;=0.2),"3bet/call",IF(J56&gt;=K56,"3bet","Call")))</f>
        <v>Fold</v>
      </c>
      <c r="N56" s="15" t="n">
        <v>0</v>
      </c>
      <c r="O56" s="15" t="n">
        <v>0</v>
      </c>
      <c r="P56" s="8" t="n">
        <f aca="false">N56+O56</f>
        <v>0</v>
      </c>
      <c r="Q56" s="9" t="str">
        <f aca="false">IF(P56&lt;0.2,"Fold",IF(AND(N56&gt;=0.2,O56&gt;=0.2),"3bet/call",IF(N56&gt;=O56,"3bet","Call")))</f>
        <v>Fold</v>
      </c>
    </row>
    <row r="57" customFormat="false" ht="15" hidden="false" customHeight="true" outlineLevel="0" collapsed="false">
      <c r="A57" s="5" t="s">
        <v>138</v>
      </c>
      <c r="B57" s="15" t="n">
        <v>0.6</v>
      </c>
      <c r="C57" s="15" t="n">
        <v>0</v>
      </c>
      <c r="D57" s="8" t="n">
        <f aca="false">B57+C57</f>
        <v>0.6</v>
      </c>
      <c r="E57" s="9" t="str">
        <f aca="false">IF(D57&lt;0.2,"Fold",IF(AND(B57&gt;=0.2,C57&gt;=0.2),"3bet/call",IF(B57&gt;=C57,"3bet","Call")))</f>
        <v>3bet</v>
      </c>
      <c r="F57" s="15" t="n">
        <v>0.8</v>
      </c>
      <c r="G57" s="15" t="n">
        <v>0.2</v>
      </c>
      <c r="H57" s="8" t="n">
        <f aca="false">F57+G57</f>
        <v>1</v>
      </c>
      <c r="I57" s="9" t="str">
        <f aca="false">IF(H57&lt;0.2,"Fold",IF(AND(F57&gt;=0.2,G57&gt;=0.2),"3bet/call",IF(F57&gt;=G57,"3bet","Call")))</f>
        <v>3bet/call</v>
      </c>
      <c r="J57" s="15" t="n">
        <v>0.35</v>
      </c>
      <c r="K57" s="15" t="n">
        <v>0.65</v>
      </c>
      <c r="L57" s="8" t="n">
        <f aca="false">J57+K57</f>
        <v>1</v>
      </c>
      <c r="M57" s="9" t="str">
        <f aca="false">IF(L57&lt;0.2,"Fold",IF(AND(J57&gt;=0.2,K57&gt;=0.2),"3bet/call",IF(J57&gt;=K57,"3bet","Call")))</f>
        <v>3bet/call</v>
      </c>
      <c r="N57" s="15" t="n">
        <v>0.2</v>
      </c>
      <c r="O57" s="15" t="n">
        <v>0.8</v>
      </c>
      <c r="P57" s="8" t="n">
        <f aca="false">N57+O57</f>
        <v>1</v>
      </c>
      <c r="Q57" s="9" t="str">
        <f aca="false">IF(P57&lt;0.2,"Fold",IF(AND(N57&gt;=0.2,O57&gt;=0.2),"3bet/call",IF(N57&gt;=O57,"3bet","Call")))</f>
        <v>3bet/call</v>
      </c>
    </row>
    <row r="58" customFormat="false" ht="15" hidden="false" customHeight="true" outlineLevel="0" collapsed="false">
      <c r="A58" s="5" t="s">
        <v>139</v>
      </c>
      <c r="B58" s="15" t="n">
        <v>0</v>
      </c>
      <c r="C58" s="15" t="n">
        <v>0</v>
      </c>
      <c r="D58" s="8" t="n">
        <f aca="false">B58+C58</f>
        <v>0</v>
      </c>
      <c r="E58" s="9" t="str">
        <f aca="false">IF(D58&lt;0.2,"Fold",IF(AND(B58&gt;=0.2,C58&gt;=0.2),"3bet/call",IF(B58&gt;=C58,"3bet","Call")))</f>
        <v>Fold</v>
      </c>
      <c r="F58" s="15" t="n">
        <v>0</v>
      </c>
      <c r="G58" s="15" t="n">
        <v>0</v>
      </c>
      <c r="H58" s="8" t="n">
        <f aca="false">F58+G58</f>
        <v>0</v>
      </c>
      <c r="I58" s="9" t="str">
        <f aca="false">IF(H58&lt;0.2,"Fold",IF(AND(F58&gt;=0.2,G58&gt;=0.2),"3bet/call",IF(F58&gt;=G58,"3bet","Call")))</f>
        <v>Fold</v>
      </c>
      <c r="J58" s="15" t="n">
        <v>0.4</v>
      </c>
      <c r="K58" s="15" t="n">
        <v>0.6</v>
      </c>
      <c r="L58" s="8" t="n">
        <f aca="false">J58+K58</f>
        <v>1</v>
      </c>
      <c r="M58" s="9" t="str">
        <f aca="false">IF(L58&lt;0.2,"Fold",IF(AND(J58&gt;=0.2,K58&gt;=0.2),"3bet/call",IF(J58&gt;=K58,"3bet","Call")))</f>
        <v>3bet/call</v>
      </c>
      <c r="N58" s="15" t="n">
        <v>0.55</v>
      </c>
      <c r="O58" s="15" t="n">
        <v>0.45</v>
      </c>
      <c r="P58" s="8" t="n">
        <f aca="false">N58+O58</f>
        <v>1</v>
      </c>
      <c r="Q58" s="9" t="str">
        <f aca="false">IF(P58&lt;0.2,"Fold",IF(AND(N58&gt;=0.2,O58&gt;=0.2),"3bet/call",IF(N58&gt;=O58,"3bet","Call")))</f>
        <v>3bet/call</v>
      </c>
    </row>
    <row r="59" customFormat="false" ht="15" hidden="false" customHeight="true" outlineLevel="0" collapsed="false">
      <c r="A59" s="5" t="s">
        <v>140</v>
      </c>
      <c r="B59" s="15" t="n">
        <v>0</v>
      </c>
      <c r="C59" s="15" t="n">
        <v>0</v>
      </c>
      <c r="D59" s="8" t="n">
        <f aca="false">B59+C59</f>
        <v>0</v>
      </c>
      <c r="E59" s="9" t="str">
        <f aca="false">IF(D59&lt;0.2,"Fold",IF(AND(B59&gt;=0.2,C59&gt;=0.2),"3bet/call",IF(B59&gt;=C59,"3bet","Call")))</f>
        <v>Fold</v>
      </c>
      <c r="F59" s="15" t="n">
        <v>0</v>
      </c>
      <c r="G59" s="15" t="n">
        <v>0</v>
      </c>
      <c r="H59" s="8" t="n">
        <f aca="false">F59+G59</f>
        <v>0</v>
      </c>
      <c r="I59" s="9" t="str">
        <f aca="false">IF(H59&lt;0.2,"Fold",IF(AND(F59&gt;=0.2,G59&gt;=0.2),"3bet/call",IF(F59&gt;=G59,"3bet","Call")))</f>
        <v>Fold</v>
      </c>
      <c r="J59" s="15" t="n">
        <v>0.25</v>
      </c>
      <c r="K59" s="15" t="n">
        <v>0.3</v>
      </c>
      <c r="L59" s="8" t="n">
        <f aca="false">J59+K59</f>
        <v>0.55</v>
      </c>
      <c r="M59" s="9" t="str">
        <f aca="false">IF(L59&lt;0.2,"Fold",IF(AND(J59&gt;=0.2,K59&gt;=0.2),"3bet/call",IF(J59&gt;=K59,"3bet","Call")))</f>
        <v>3bet/call</v>
      </c>
      <c r="N59" s="15" t="n">
        <v>0.35</v>
      </c>
      <c r="O59" s="15" t="n">
        <v>0.65</v>
      </c>
      <c r="P59" s="8" t="n">
        <f aca="false">N59+O59</f>
        <v>1</v>
      </c>
      <c r="Q59" s="9" t="str">
        <f aca="false">IF(P59&lt;0.2,"Fold",IF(AND(N59&gt;=0.2,O59&gt;=0.2),"3bet/call",IF(N59&gt;=O59,"3bet","Call")))</f>
        <v>3bet/call</v>
      </c>
    </row>
    <row r="60" customFormat="false" ht="15" hidden="false" customHeight="true" outlineLevel="0" collapsed="false">
      <c r="A60" s="5" t="s">
        <v>141</v>
      </c>
      <c r="B60" s="15" t="n">
        <v>0</v>
      </c>
      <c r="C60" s="15" t="n">
        <v>0</v>
      </c>
      <c r="D60" s="8" t="n">
        <f aca="false">B60+C60</f>
        <v>0</v>
      </c>
      <c r="E60" s="9" t="str">
        <f aca="false">IF(D60&lt;0.2,"Fold",IF(AND(B60&gt;=0.2,C60&gt;=0.2),"3bet/call",IF(B60&gt;=C60,"3bet","Call")))</f>
        <v>Fold</v>
      </c>
      <c r="F60" s="15" t="n">
        <v>0</v>
      </c>
      <c r="G60" s="15" t="n">
        <v>0</v>
      </c>
      <c r="H60" s="8" t="n">
        <f aca="false">F60+G60</f>
        <v>0</v>
      </c>
      <c r="I60" s="9" t="str">
        <f aca="false">IF(H60&lt;0.2,"Fold",IF(AND(F60&gt;=0.2,G60&gt;=0.2),"3bet/call",IF(F60&gt;=G60,"3bet","Call")))</f>
        <v>Fold</v>
      </c>
      <c r="J60" s="15" t="n">
        <v>0.15</v>
      </c>
      <c r="K60" s="15" t="n">
        <v>0.05</v>
      </c>
      <c r="L60" s="8" t="n">
        <f aca="false">J60+K60</f>
        <v>0.2</v>
      </c>
      <c r="M60" s="9" t="str">
        <f aca="false">IF(L60&lt;0.2,"Fold",IF(AND(J60&gt;=0.2,K60&gt;=0.2),"3bet/call",IF(J60&gt;=K60,"3bet","Call")))</f>
        <v>3bet</v>
      </c>
      <c r="N60" s="15" t="n">
        <v>0.35</v>
      </c>
      <c r="O60" s="15" t="n">
        <v>0.65</v>
      </c>
      <c r="P60" s="8" t="n">
        <f aca="false">N60+O60</f>
        <v>1</v>
      </c>
      <c r="Q60" s="9" t="str">
        <f aca="false">IF(P60&lt;0.2,"Fold",IF(AND(N60&gt;=0.2,O60&gt;=0.2),"3bet/call",IF(N60&gt;=O60,"3bet","Call")))</f>
        <v>3bet/call</v>
      </c>
    </row>
    <row r="61" customFormat="false" ht="15" hidden="false" customHeight="true" outlineLevel="0" collapsed="false">
      <c r="A61" s="5" t="s">
        <v>142</v>
      </c>
      <c r="B61" s="15" t="n">
        <v>0.7</v>
      </c>
      <c r="C61" s="15" t="n">
        <v>0.3</v>
      </c>
      <c r="D61" s="8" t="n">
        <f aca="false">B61+C61</f>
        <v>1</v>
      </c>
      <c r="E61" s="9" t="str">
        <f aca="false">IF(D61&lt;0.2,"Fold",IF(AND(B61&gt;=0.2,C61&gt;=0.2),"3bet/call",IF(B61&gt;=C61,"3bet","Call")))</f>
        <v>3bet/call</v>
      </c>
      <c r="F61" s="15" t="n">
        <v>0.75</v>
      </c>
      <c r="G61" s="15" t="n">
        <v>0.25</v>
      </c>
      <c r="H61" s="8" t="n">
        <f aca="false">F61+G61</f>
        <v>1</v>
      </c>
      <c r="I61" s="9" t="str">
        <f aca="false">IF(H61&lt;0.2,"Fold",IF(AND(F61&gt;=0.2,G61&gt;=0.2),"3bet/call",IF(F61&gt;=G61,"3bet","Call")))</f>
        <v>3bet/call</v>
      </c>
      <c r="J61" s="15" t="n">
        <v>1</v>
      </c>
      <c r="K61" s="15" t="n">
        <v>0</v>
      </c>
      <c r="L61" s="8" t="n">
        <f aca="false">J61+K61</f>
        <v>1</v>
      </c>
      <c r="M61" s="9" t="str">
        <f aca="false">IF(L61&lt;0.2,"Fold",IF(AND(J61&gt;=0.2,K61&gt;=0.2),"3bet/call",IF(J61&gt;=K61,"3bet","Call")))</f>
        <v>3bet</v>
      </c>
      <c r="N61" s="15" t="n">
        <v>1</v>
      </c>
      <c r="O61" s="15" t="n">
        <v>0</v>
      </c>
      <c r="P61" s="8" t="n">
        <f aca="false">N61+O61</f>
        <v>1</v>
      </c>
      <c r="Q61" s="9" t="str">
        <f aca="false">IF(P61&lt;0.2,"Fold",IF(AND(N61&gt;=0.2,O61&gt;=0.2),"3bet/call",IF(N61&gt;=O61,"3bet","Call")))</f>
        <v>3bet</v>
      </c>
    </row>
    <row r="62" customFormat="false" ht="15" hidden="false" customHeight="true" outlineLevel="0" collapsed="false">
      <c r="A62" s="5" t="s">
        <v>143</v>
      </c>
      <c r="B62" s="15" t="n">
        <v>0.5</v>
      </c>
      <c r="C62" s="15" t="n">
        <v>0.5</v>
      </c>
      <c r="D62" s="8" t="n">
        <f aca="false">B62+C62</f>
        <v>1</v>
      </c>
      <c r="E62" s="9" t="str">
        <f aca="false">IF(D62&lt;0.2,"Fold",IF(AND(B62&gt;=0.2,C62&gt;=0.2),"3bet/call",IF(B62&gt;=C62,"3bet","Call")))</f>
        <v>3bet/call</v>
      </c>
      <c r="F62" s="15" t="n">
        <v>0.25</v>
      </c>
      <c r="G62" s="15" t="n">
        <v>0.75</v>
      </c>
      <c r="H62" s="8" t="n">
        <f aca="false">F62+G62</f>
        <v>1</v>
      </c>
      <c r="I62" s="9" t="str">
        <f aca="false">IF(H62&lt;0.2,"Fold",IF(AND(F62&gt;=0.2,G62&gt;=0.2),"3bet/call",IF(F62&gt;=G62,"3bet","Call")))</f>
        <v>3bet/call</v>
      </c>
      <c r="J62" s="15" t="n">
        <v>0</v>
      </c>
      <c r="K62" s="15" t="n">
        <v>1</v>
      </c>
      <c r="L62" s="8" t="n">
        <f aca="false">J62+K62</f>
        <v>1</v>
      </c>
      <c r="M62" s="9" t="str">
        <f aca="false">IF(L62&lt;0.2,"Fold",IF(AND(J62&gt;=0.2,K62&gt;=0.2),"3bet/call",IF(J62&gt;=K62,"3bet","Call")))</f>
        <v>Call</v>
      </c>
      <c r="N62" s="15" t="n">
        <v>0</v>
      </c>
      <c r="O62" s="15" t="n">
        <v>1</v>
      </c>
      <c r="P62" s="8" t="n">
        <f aca="false">N62+O62</f>
        <v>1</v>
      </c>
      <c r="Q62" s="9" t="str">
        <f aca="false">IF(P62&lt;0.2,"Fold",IF(AND(N62&gt;=0.2,O62&gt;=0.2),"3bet/call",IF(N62&gt;=O62,"3bet","Call")))</f>
        <v>Call</v>
      </c>
    </row>
    <row r="63" customFormat="false" ht="15" hidden="false" customHeight="true" outlineLevel="0" collapsed="false">
      <c r="A63" s="5" t="s">
        <v>144</v>
      </c>
      <c r="B63" s="15" t="n">
        <v>0</v>
      </c>
      <c r="C63" s="15" t="n">
        <v>0</v>
      </c>
      <c r="D63" s="8" t="n">
        <f aca="false">B63+C63</f>
        <v>0</v>
      </c>
      <c r="E63" s="9" t="str">
        <f aca="false">IF(D63&lt;0.2,"Fold",IF(AND(B63&gt;=0.2,C63&gt;=0.2),"3bet/call",IF(B63&gt;=C63,"3bet","Call")))</f>
        <v>Fold</v>
      </c>
      <c r="F63" s="15" t="n">
        <v>0.35</v>
      </c>
      <c r="G63" s="15" t="n">
        <v>0.1</v>
      </c>
      <c r="H63" s="8" t="n">
        <f aca="false">F63+G63</f>
        <v>0.45</v>
      </c>
      <c r="I63" s="9" t="str">
        <f aca="false">IF(H63&lt;0.2,"Fold",IF(AND(F63&gt;=0.2,G63&gt;=0.2),"3bet/call",IF(F63&gt;=G63,"3bet","Call")))</f>
        <v>3bet</v>
      </c>
      <c r="J63" s="15" t="n">
        <v>0.2</v>
      </c>
      <c r="K63" s="15" t="n">
        <v>0.8</v>
      </c>
      <c r="L63" s="8" t="n">
        <f aca="false">J63+K63</f>
        <v>1</v>
      </c>
      <c r="M63" s="9" t="str">
        <f aca="false">IF(L63&lt;0.2,"Fold",IF(AND(J63&gt;=0.2,K63&gt;=0.2),"3bet/call",IF(J63&gt;=K63,"3bet","Call")))</f>
        <v>3bet/call</v>
      </c>
      <c r="N63" s="15" t="n">
        <v>0</v>
      </c>
      <c r="O63" s="15" t="n">
        <v>1</v>
      </c>
      <c r="P63" s="8" t="n">
        <f aca="false">N63+O63</f>
        <v>1</v>
      </c>
      <c r="Q63" s="9" t="str">
        <f aca="false">IF(P63&lt;0.2,"Fold",IF(AND(N63&gt;=0.2,O63&gt;=0.2),"3bet/call",IF(N63&gt;=O63,"3bet","Call")))</f>
        <v>Call</v>
      </c>
    </row>
    <row r="64" customFormat="false" ht="15" hidden="false" customHeight="true" outlineLevel="0" collapsed="false">
      <c r="A64" s="5" t="s">
        <v>145</v>
      </c>
      <c r="B64" s="15" t="n">
        <v>0</v>
      </c>
      <c r="C64" s="15" t="n">
        <v>0</v>
      </c>
      <c r="D64" s="8" t="n">
        <f aca="false">B64+C64</f>
        <v>0</v>
      </c>
      <c r="E64" s="9" t="str">
        <f aca="false">IF(D64&lt;0.2,"Fold",IF(AND(B64&gt;=0.2,C64&gt;=0.2),"3bet/call",IF(B64&gt;=C64,"3bet","Call")))</f>
        <v>Fold</v>
      </c>
      <c r="F64" s="15" t="n">
        <v>0</v>
      </c>
      <c r="G64" s="15" t="n">
        <v>0</v>
      </c>
      <c r="H64" s="8" t="n">
        <f aca="false">F64+G64</f>
        <v>0</v>
      </c>
      <c r="I64" s="9" t="str">
        <f aca="false">IF(H64&lt;0.2,"Fold",IF(AND(F64&gt;=0.2,G64&gt;=0.2),"3bet/call",IF(F64&gt;=G64,"3bet","Call")))</f>
        <v>Fold</v>
      </c>
      <c r="J64" s="15" t="n">
        <v>0.1</v>
      </c>
      <c r="K64" s="15" t="n">
        <v>0</v>
      </c>
      <c r="L64" s="8" t="n">
        <f aca="false">J64+K64</f>
        <v>0.1</v>
      </c>
      <c r="M64" s="9" t="str">
        <f aca="false">IF(L64&lt;0.2,"Fold",IF(AND(J64&gt;=0.2,K64&gt;=0.2),"3bet/call",IF(J64&gt;=K64,"3bet","Call")))</f>
        <v>Fold</v>
      </c>
      <c r="N64" s="15" t="n">
        <v>0</v>
      </c>
      <c r="O64" s="15" t="n">
        <v>0</v>
      </c>
      <c r="P64" s="8" t="n">
        <f aca="false">N64+O64</f>
        <v>0</v>
      </c>
      <c r="Q64" s="9" t="str">
        <f aca="false">IF(P64&lt;0.2,"Fold",IF(AND(N64&gt;=0.2,O64&gt;=0.2),"3bet/call",IF(N64&gt;=O64,"3bet","Call")))</f>
        <v>Fold</v>
      </c>
    </row>
    <row r="65" customFormat="false" ht="15" hidden="false" customHeight="true" outlineLevel="0" collapsed="false">
      <c r="A65" s="5" t="s">
        <v>146</v>
      </c>
      <c r="B65" s="15" t="n">
        <v>0</v>
      </c>
      <c r="C65" s="15" t="n">
        <v>0</v>
      </c>
      <c r="D65" s="8" t="n">
        <f aca="false">B65+C65</f>
        <v>0</v>
      </c>
      <c r="E65" s="9" t="str">
        <f aca="false">IF(D65&lt;0.2,"Fold",IF(AND(B65&gt;=0.2,C65&gt;=0.2),"3bet/call",IF(B65&gt;=C65,"3bet","Call")))</f>
        <v>Fold</v>
      </c>
      <c r="F65" s="15" t="n">
        <v>0</v>
      </c>
      <c r="G65" s="15" t="n">
        <v>0</v>
      </c>
      <c r="H65" s="8" t="n">
        <f aca="false">F65+G65</f>
        <v>0</v>
      </c>
      <c r="I65" s="9" t="str">
        <f aca="false">IF(H65&lt;0.2,"Fold",IF(AND(F65&gt;=0.2,G65&gt;=0.2),"3bet/call",IF(F65&gt;=G65,"3bet","Call")))</f>
        <v>Fold</v>
      </c>
      <c r="J65" s="15" t="n">
        <v>0</v>
      </c>
      <c r="K65" s="15" t="n">
        <v>0</v>
      </c>
      <c r="L65" s="8" t="n">
        <f aca="false">J65+K65</f>
        <v>0</v>
      </c>
      <c r="M65" s="9" t="str">
        <f aca="false">IF(L65&lt;0.2,"Fold",IF(AND(J65&gt;=0.2,K65&gt;=0.2),"3bet/call",IF(J65&gt;=K65,"3bet","Call")))</f>
        <v>Fold</v>
      </c>
      <c r="N65" s="15" t="n">
        <v>0</v>
      </c>
      <c r="O65" s="15" t="n">
        <v>0</v>
      </c>
      <c r="P65" s="8" t="n">
        <f aca="false">N65+O65</f>
        <v>0</v>
      </c>
      <c r="Q65" s="9" t="str">
        <f aca="false">IF(P65&lt;0.2,"Fold",IF(AND(N65&gt;=0.2,O65&gt;=0.2),"3bet/call",IF(N65&gt;=O65,"3bet","Call")))</f>
        <v>Fold</v>
      </c>
    </row>
    <row r="66" customFormat="false" ht="15" hidden="false" customHeight="true" outlineLevel="0" collapsed="false">
      <c r="A66" s="5" t="s">
        <v>147</v>
      </c>
      <c r="B66" s="15" t="n">
        <v>0</v>
      </c>
      <c r="C66" s="15" t="n">
        <v>0</v>
      </c>
      <c r="D66" s="8" t="n">
        <f aca="false">B66+C66</f>
        <v>0</v>
      </c>
      <c r="E66" s="9" t="str">
        <f aca="false">IF(D66&lt;0.2,"Fold",IF(AND(B66&gt;=0.2,C66&gt;=0.2),"3bet/call",IF(B66&gt;=C66,"3bet","Call")))</f>
        <v>Fold</v>
      </c>
      <c r="F66" s="15" t="n">
        <v>0</v>
      </c>
      <c r="G66" s="15" t="n">
        <v>0</v>
      </c>
      <c r="H66" s="8" t="n">
        <f aca="false">F66+G66</f>
        <v>0</v>
      </c>
      <c r="I66" s="9" t="str">
        <f aca="false">IF(H66&lt;0.2,"Fold",IF(AND(F66&gt;=0.2,G66&gt;=0.2),"3bet/call",IF(F66&gt;=G66,"3bet","Call")))</f>
        <v>Fold</v>
      </c>
      <c r="J66" s="15" t="n">
        <v>0</v>
      </c>
      <c r="K66" s="15" t="n">
        <v>0</v>
      </c>
      <c r="L66" s="8" t="n">
        <f aca="false">J66+K66</f>
        <v>0</v>
      </c>
      <c r="M66" s="9" t="str">
        <f aca="false">IF(L66&lt;0.2,"Fold",IF(AND(J66&gt;=0.2,K66&gt;=0.2),"3bet/call",IF(J66&gt;=K66,"3bet","Call")))</f>
        <v>Fold</v>
      </c>
      <c r="N66" s="15" t="n">
        <v>0</v>
      </c>
      <c r="O66" s="15" t="n">
        <v>0</v>
      </c>
      <c r="P66" s="8" t="n">
        <f aca="false">N66+O66</f>
        <v>0</v>
      </c>
      <c r="Q66" s="9" t="str">
        <f aca="false">IF(P66&lt;0.2,"Fold",IF(AND(N66&gt;=0.2,O66&gt;=0.2),"3bet/call",IF(N66&gt;=O66,"3bet","Call")))</f>
        <v>Fold</v>
      </c>
    </row>
    <row r="67" customFormat="false" ht="15" hidden="false" customHeight="true" outlineLevel="0" collapsed="false">
      <c r="A67" s="5" t="s">
        <v>148</v>
      </c>
      <c r="B67" s="15" t="n">
        <v>0</v>
      </c>
      <c r="C67" s="15" t="n">
        <v>0</v>
      </c>
      <c r="D67" s="8" t="n">
        <f aca="false">B67+C67</f>
        <v>0</v>
      </c>
      <c r="E67" s="9" t="str">
        <f aca="false">IF(D67&lt;0.2,"Fold",IF(AND(B67&gt;=0.2,C67&gt;=0.2),"3bet/call",IF(B67&gt;=C67,"3bet","Call")))</f>
        <v>Fold</v>
      </c>
      <c r="F67" s="15" t="n">
        <v>0</v>
      </c>
      <c r="G67" s="15" t="n">
        <v>0</v>
      </c>
      <c r="H67" s="8" t="n">
        <f aca="false">F67+G67</f>
        <v>0</v>
      </c>
      <c r="I67" s="9" t="str">
        <f aca="false">IF(H67&lt;0.2,"Fold",IF(AND(F67&gt;=0.2,G67&gt;=0.2),"3bet/call",IF(F67&gt;=G67,"3bet","Call")))</f>
        <v>Fold</v>
      </c>
      <c r="J67" s="15" t="n">
        <v>0</v>
      </c>
      <c r="K67" s="15" t="n">
        <v>0</v>
      </c>
      <c r="L67" s="8" t="n">
        <f aca="false">J67+K67</f>
        <v>0</v>
      </c>
      <c r="M67" s="9" t="str">
        <f aca="false">IF(L67&lt;0.2,"Fold",IF(AND(J67&gt;=0.2,K67&gt;=0.2),"3bet/call",IF(J67&gt;=K67,"3bet","Call")))</f>
        <v>Fold</v>
      </c>
      <c r="N67" s="15" t="n">
        <v>0</v>
      </c>
      <c r="O67" s="15" t="n">
        <v>0</v>
      </c>
      <c r="P67" s="8" t="n">
        <f aca="false">N67+O67</f>
        <v>0</v>
      </c>
      <c r="Q67" s="9" t="str">
        <f aca="false">IF(P67&lt;0.2,"Fold",IF(AND(N67&gt;=0.2,O67&gt;=0.2),"3bet/call",IF(N67&gt;=O67,"3bet","Call")))</f>
        <v>Fold</v>
      </c>
    </row>
    <row r="68" customFormat="false" ht="15" hidden="false" customHeight="true" outlineLevel="0" collapsed="false">
      <c r="A68" s="5" t="s">
        <v>149</v>
      </c>
      <c r="B68" s="15" t="n">
        <v>0</v>
      </c>
      <c r="C68" s="15" t="n">
        <v>0</v>
      </c>
      <c r="D68" s="8" t="n">
        <f aca="false">B68+C68</f>
        <v>0</v>
      </c>
      <c r="E68" s="9" t="str">
        <f aca="false">IF(D68&lt;0.2,"Fold",IF(AND(B68&gt;=0.2,C68&gt;=0.2),"3bet/call",IF(B68&gt;=C68,"3bet","Call")))</f>
        <v>Fold</v>
      </c>
      <c r="F68" s="15" t="n">
        <v>0</v>
      </c>
      <c r="G68" s="15" t="n">
        <v>0</v>
      </c>
      <c r="H68" s="8" t="n">
        <f aca="false">F68+G68</f>
        <v>0</v>
      </c>
      <c r="I68" s="9" t="str">
        <f aca="false">IF(H68&lt;0.2,"Fold",IF(AND(F68&gt;=0.2,G68&gt;=0.2),"3bet/call",IF(F68&gt;=G68,"3bet","Call")))</f>
        <v>Fold</v>
      </c>
      <c r="J68" s="15" t="n">
        <v>0</v>
      </c>
      <c r="K68" s="15" t="n">
        <v>0</v>
      </c>
      <c r="L68" s="8" t="n">
        <f aca="false">J68+K68</f>
        <v>0</v>
      </c>
      <c r="M68" s="9" t="str">
        <f aca="false">IF(L68&lt;0.2,"Fold",IF(AND(J68&gt;=0.2,K68&gt;=0.2),"3bet/call",IF(J68&gt;=K68,"3bet","Call")))</f>
        <v>Fold</v>
      </c>
      <c r="N68" s="15" t="n">
        <v>0</v>
      </c>
      <c r="O68" s="15" t="n">
        <v>0</v>
      </c>
      <c r="P68" s="8" t="n">
        <f aca="false">N68+O68</f>
        <v>0</v>
      </c>
      <c r="Q68" s="9" t="str">
        <f aca="false">IF(P68&lt;0.2,"Fold",IF(AND(N68&gt;=0.2,O68&gt;=0.2),"3bet/call",IF(N68&gt;=O68,"3bet","Call")))</f>
        <v>Fold</v>
      </c>
    </row>
    <row r="69" customFormat="false" ht="15" hidden="false" customHeight="true" outlineLevel="0" collapsed="false">
      <c r="A69" s="5" t="s">
        <v>150</v>
      </c>
      <c r="B69" s="15" t="n">
        <v>0</v>
      </c>
      <c r="C69" s="15" t="n">
        <v>0</v>
      </c>
      <c r="D69" s="8" t="n">
        <f aca="false">B69+C69</f>
        <v>0</v>
      </c>
      <c r="E69" s="9" t="str">
        <f aca="false">IF(D69&lt;0.2,"Fold",IF(AND(B69&gt;=0.2,C69&gt;=0.2),"3bet/call",IF(B69&gt;=C69,"3bet","Call")))</f>
        <v>Fold</v>
      </c>
      <c r="F69" s="15" t="n">
        <v>0</v>
      </c>
      <c r="G69" s="15" t="n">
        <v>0</v>
      </c>
      <c r="H69" s="8" t="n">
        <f aca="false">F69+G69</f>
        <v>0</v>
      </c>
      <c r="I69" s="9" t="str">
        <f aca="false">IF(H69&lt;0.2,"Fold",IF(AND(F69&gt;=0.2,G69&gt;=0.2),"3bet/call",IF(F69&gt;=G69,"3bet","Call")))</f>
        <v>Fold</v>
      </c>
      <c r="J69" s="15" t="n">
        <v>0</v>
      </c>
      <c r="K69" s="15" t="n">
        <v>0</v>
      </c>
      <c r="L69" s="8" t="n">
        <f aca="false">J69+K69</f>
        <v>0</v>
      </c>
      <c r="M69" s="9" t="str">
        <f aca="false">IF(L69&lt;0.2,"Fold",IF(AND(J69&gt;=0.2,K69&gt;=0.2),"3bet/call",IF(J69&gt;=K69,"3bet","Call")))</f>
        <v>Fold</v>
      </c>
      <c r="N69" s="15" t="n">
        <v>0</v>
      </c>
      <c r="O69" s="15" t="n">
        <v>0</v>
      </c>
      <c r="P69" s="8" t="n">
        <f aca="false">N69+O69</f>
        <v>0</v>
      </c>
      <c r="Q69" s="9" t="str">
        <f aca="false">IF(P69&lt;0.2,"Fold",IF(AND(N69&gt;=0.2,O69&gt;=0.2),"3bet/call",IF(N69&gt;=O69,"3bet","Call")))</f>
        <v>Fold</v>
      </c>
    </row>
    <row r="70" customFormat="false" ht="15" hidden="false" customHeight="true" outlineLevel="0" collapsed="false">
      <c r="A70" s="5" t="s">
        <v>151</v>
      </c>
      <c r="B70" s="15" t="n">
        <v>0</v>
      </c>
      <c r="C70" s="15" t="n">
        <v>0</v>
      </c>
      <c r="D70" s="8" t="n">
        <f aca="false">B70+C70</f>
        <v>0</v>
      </c>
      <c r="E70" s="9" t="str">
        <f aca="false">IF(D70&lt;0.2,"Fold",IF(AND(B70&gt;=0.2,C70&gt;=0.2),"3bet/call",IF(B70&gt;=C70,"3bet","Call")))</f>
        <v>Fold</v>
      </c>
      <c r="F70" s="15" t="n">
        <v>0</v>
      </c>
      <c r="G70" s="15" t="n">
        <v>0</v>
      </c>
      <c r="H70" s="8" t="n">
        <f aca="false">F70+G70</f>
        <v>0</v>
      </c>
      <c r="I70" s="9" t="str">
        <f aca="false">IF(H70&lt;0.2,"Fold",IF(AND(F70&gt;=0.2,G70&gt;=0.2),"3bet/call",IF(F70&gt;=G70,"3bet","Call")))</f>
        <v>Fold</v>
      </c>
      <c r="J70" s="15" t="n">
        <v>0.75</v>
      </c>
      <c r="K70" s="15" t="n">
        <v>0.25</v>
      </c>
      <c r="L70" s="8" t="n">
        <f aca="false">J70+K70</f>
        <v>1</v>
      </c>
      <c r="M70" s="9" t="str">
        <f aca="false">IF(L70&lt;0.2,"Fold",IF(AND(J70&gt;=0.2,K70&gt;=0.2),"3bet/call",IF(J70&gt;=K70,"3bet","Call")))</f>
        <v>3bet/call</v>
      </c>
      <c r="N70" s="15" t="n">
        <v>1</v>
      </c>
      <c r="O70" s="15" t="n">
        <v>0</v>
      </c>
      <c r="P70" s="8" t="n">
        <f aca="false">N70+O70</f>
        <v>1</v>
      </c>
      <c r="Q70" s="9" t="str">
        <f aca="false">IF(P70&lt;0.2,"Fold",IF(AND(N70&gt;=0.2,O70&gt;=0.2),"3bet/call",IF(N70&gt;=O70,"3bet","Call")))</f>
        <v>3bet</v>
      </c>
    </row>
    <row r="71" customFormat="false" ht="15" hidden="false" customHeight="true" outlineLevel="0" collapsed="false">
      <c r="A71" s="5" t="s">
        <v>152</v>
      </c>
      <c r="B71" s="15" t="n">
        <v>0</v>
      </c>
      <c r="C71" s="15" t="n">
        <v>0</v>
      </c>
      <c r="D71" s="8" t="n">
        <f aca="false">B71+C71</f>
        <v>0</v>
      </c>
      <c r="E71" s="9" t="str">
        <f aca="false">IF(D71&lt;0.2,"Fold",IF(AND(B71&gt;=0.2,C71&gt;=0.2),"3bet/call",IF(B71&gt;=C71,"3bet","Call")))</f>
        <v>Fold</v>
      </c>
      <c r="F71" s="15" t="n">
        <v>0</v>
      </c>
      <c r="G71" s="15" t="n">
        <v>0</v>
      </c>
      <c r="H71" s="8" t="n">
        <f aca="false">F71+G71</f>
        <v>0</v>
      </c>
      <c r="I71" s="9" t="str">
        <f aca="false">IF(H71&lt;0.2,"Fold",IF(AND(F71&gt;=0.2,G71&gt;=0.2),"3bet/call",IF(F71&gt;=G71,"3bet","Call")))</f>
        <v>Fold</v>
      </c>
      <c r="J71" s="15" t="n">
        <v>0</v>
      </c>
      <c r="K71" s="15" t="n">
        <v>0</v>
      </c>
      <c r="L71" s="8" t="n">
        <f aca="false">J71+K71</f>
        <v>0</v>
      </c>
      <c r="M71" s="9" t="str">
        <f aca="false">IF(L71&lt;0.2,"Fold",IF(AND(J71&gt;=0.2,K71&gt;=0.2),"3bet/call",IF(J71&gt;=K71,"3bet","Call")))</f>
        <v>Fold</v>
      </c>
      <c r="N71" s="15" t="n">
        <v>0</v>
      </c>
      <c r="O71" s="15" t="n">
        <v>0</v>
      </c>
      <c r="P71" s="8" t="n">
        <f aca="false">N71+O71</f>
        <v>0</v>
      </c>
      <c r="Q71" s="9" t="str">
        <f aca="false">IF(P71&lt;0.2,"Fold",IF(AND(N71&gt;=0.2,O71&gt;=0.2),"3bet/call",IF(N71&gt;=O71,"3bet","Call")))</f>
        <v>Fold</v>
      </c>
    </row>
    <row r="72" customFormat="false" ht="15" hidden="false" customHeight="true" outlineLevel="0" collapsed="false">
      <c r="A72" s="5" t="s">
        <v>153</v>
      </c>
      <c r="B72" s="15" t="n">
        <v>0</v>
      </c>
      <c r="C72" s="15" t="n">
        <v>0</v>
      </c>
      <c r="D72" s="8" t="n">
        <f aca="false">B72+C72</f>
        <v>0</v>
      </c>
      <c r="E72" s="9" t="str">
        <f aca="false">IF(D72&lt;0.2,"Fold",IF(AND(B72&gt;=0.2,C72&gt;=0.2),"3bet/call",IF(B72&gt;=C72,"3bet","Call")))</f>
        <v>Fold</v>
      </c>
      <c r="F72" s="15" t="n">
        <v>0</v>
      </c>
      <c r="G72" s="15" t="n">
        <v>0</v>
      </c>
      <c r="H72" s="8" t="n">
        <f aca="false">F72+G72</f>
        <v>0</v>
      </c>
      <c r="I72" s="9" t="str">
        <f aca="false">IF(H72&lt;0.2,"Fold",IF(AND(F72&gt;=0.2,G72&gt;=0.2),"3bet/call",IF(F72&gt;=G72,"3bet","Call")))</f>
        <v>Fold</v>
      </c>
      <c r="J72" s="15" t="n">
        <v>0</v>
      </c>
      <c r="K72" s="15" t="n">
        <v>0</v>
      </c>
      <c r="L72" s="8" t="n">
        <f aca="false">J72+K72</f>
        <v>0</v>
      </c>
      <c r="M72" s="9" t="str">
        <f aca="false">IF(L72&lt;0.2,"Fold",IF(AND(J72&gt;=0.2,K72&gt;=0.2),"3bet/call",IF(J72&gt;=K72,"3bet","Call")))</f>
        <v>Fold</v>
      </c>
      <c r="N72" s="15" t="n">
        <v>0</v>
      </c>
      <c r="O72" s="15" t="n">
        <v>0</v>
      </c>
      <c r="P72" s="8" t="n">
        <f aca="false">N72+O72</f>
        <v>0</v>
      </c>
      <c r="Q72" s="9" t="str">
        <f aca="false">IF(P72&lt;0.2,"Fold",IF(AND(N72&gt;=0.2,O72&gt;=0.2),"3bet/call",IF(N72&gt;=O72,"3bet","Call")))</f>
        <v>Fold</v>
      </c>
    </row>
    <row r="73" customFormat="false" ht="15" hidden="false" customHeight="true" outlineLevel="0" collapsed="false">
      <c r="A73" s="5" t="s">
        <v>154</v>
      </c>
      <c r="B73" s="15" t="n">
        <v>0</v>
      </c>
      <c r="C73" s="15" t="n">
        <v>0</v>
      </c>
      <c r="D73" s="8" t="n">
        <f aca="false">B73+C73</f>
        <v>0</v>
      </c>
      <c r="E73" s="9" t="str">
        <f aca="false">IF(D73&lt;0.2,"Fold",IF(AND(B73&gt;=0.2,C73&gt;=0.2),"3bet/call",IF(B73&gt;=C73,"3bet","Call")))</f>
        <v>Fold</v>
      </c>
      <c r="F73" s="15" t="n">
        <v>0</v>
      </c>
      <c r="G73" s="15" t="n">
        <v>0</v>
      </c>
      <c r="H73" s="8" t="n">
        <f aca="false">F73+G73</f>
        <v>0</v>
      </c>
      <c r="I73" s="9" t="str">
        <f aca="false">IF(H73&lt;0.2,"Fold",IF(AND(F73&gt;=0.2,G73&gt;=0.2),"3bet/call",IF(F73&gt;=G73,"3bet","Call")))</f>
        <v>Fold</v>
      </c>
      <c r="J73" s="15" t="n">
        <v>0</v>
      </c>
      <c r="K73" s="15" t="n">
        <v>0</v>
      </c>
      <c r="L73" s="8" t="n">
        <f aca="false">J73+K73</f>
        <v>0</v>
      </c>
      <c r="M73" s="9" t="str">
        <f aca="false">IF(L73&lt;0.2,"Fold",IF(AND(J73&gt;=0.2,K73&gt;=0.2),"3bet/call",IF(J73&gt;=K73,"3bet","Call")))</f>
        <v>Fold</v>
      </c>
      <c r="N73" s="15" t="n">
        <v>0</v>
      </c>
      <c r="O73" s="15" t="n">
        <v>0</v>
      </c>
      <c r="P73" s="8" t="n">
        <f aca="false">N73+O73</f>
        <v>0</v>
      </c>
      <c r="Q73" s="9" t="str">
        <f aca="false">IF(P73&lt;0.2,"Fold",IF(AND(N73&gt;=0.2,O73&gt;=0.2),"3bet/call",IF(N73&gt;=O73,"3bet","Call")))</f>
        <v>Fold</v>
      </c>
    </row>
    <row r="74" customFormat="false" ht="15" hidden="false" customHeight="true" outlineLevel="0" collapsed="false">
      <c r="A74" s="5" t="s">
        <v>155</v>
      </c>
      <c r="B74" s="15" t="n">
        <v>0</v>
      </c>
      <c r="C74" s="15" t="n">
        <v>0</v>
      </c>
      <c r="D74" s="8" t="n">
        <f aca="false">B74+C74</f>
        <v>0</v>
      </c>
      <c r="E74" s="9" t="str">
        <f aca="false">IF(D74&lt;0.2,"Fold",IF(AND(B74&gt;=0.2,C74&gt;=0.2),"3bet/call",IF(B74&gt;=C74,"3bet","Call")))</f>
        <v>Fold</v>
      </c>
      <c r="F74" s="15" t="n">
        <v>0</v>
      </c>
      <c r="G74" s="15" t="n">
        <v>0</v>
      </c>
      <c r="H74" s="8" t="n">
        <f aca="false">F74+G74</f>
        <v>0</v>
      </c>
      <c r="I74" s="9" t="str">
        <f aca="false">IF(H74&lt;0.2,"Fold",IF(AND(F74&gt;=0.2,G74&gt;=0.2),"3bet/call",IF(F74&gt;=G74,"3bet","Call")))</f>
        <v>Fold</v>
      </c>
      <c r="J74" s="15" t="n">
        <v>0</v>
      </c>
      <c r="K74" s="15" t="n">
        <v>0</v>
      </c>
      <c r="L74" s="8" t="n">
        <f aca="false">J74+K74</f>
        <v>0</v>
      </c>
      <c r="M74" s="9" t="str">
        <f aca="false">IF(L74&lt;0.2,"Fold",IF(AND(J74&gt;=0.2,K74&gt;=0.2),"3bet/call",IF(J74&gt;=K74,"3bet","Call")))</f>
        <v>Fold</v>
      </c>
      <c r="N74" s="15" t="n">
        <v>0</v>
      </c>
      <c r="O74" s="15" t="n">
        <v>0</v>
      </c>
      <c r="P74" s="8" t="n">
        <f aca="false">N74+O74</f>
        <v>0</v>
      </c>
      <c r="Q74" s="9" t="str">
        <f aca="false">IF(P74&lt;0.2,"Fold",IF(AND(N74&gt;=0.2,O74&gt;=0.2),"3bet/call",IF(N74&gt;=O74,"3bet","Call")))</f>
        <v>Fold</v>
      </c>
    </row>
    <row r="75" customFormat="false" ht="15" hidden="false" customHeight="true" outlineLevel="0" collapsed="false">
      <c r="A75" s="5" t="s">
        <v>156</v>
      </c>
      <c r="B75" s="15" t="n">
        <v>0.55</v>
      </c>
      <c r="C75" s="15" t="n">
        <v>0.45</v>
      </c>
      <c r="D75" s="8" t="n">
        <f aca="false">B75+C75</f>
        <v>1</v>
      </c>
      <c r="E75" s="9" t="str">
        <f aca="false">IF(D75&lt;0.2,"Fold",IF(AND(B75&gt;=0.2,C75&gt;=0.2),"3bet/call",IF(B75&gt;=C75,"3bet","Call")))</f>
        <v>3bet/call</v>
      </c>
      <c r="F75" s="15" t="n">
        <v>0.5</v>
      </c>
      <c r="G75" s="15" t="n">
        <v>0.5</v>
      </c>
      <c r="H75" s="8" t="n">
        <f aca="false">F75+G75</f>
        <v>1</v>
      </c>
      <c r="I75" s="9" t="str">
        <f aca="false">IF(H75&lt;0.2,"Fold",IF(AND(F75&gt;=0.2,G75&gt;=0.2),"3bet/call",IF(F75&gt;=G75,"3bet","Call")))</f>
        <v>3bet/call</v>
      </c>
      <c r="J75" s="15" t="n">
        <v>0.45</v>
      </c>
      <c r="K75" s="15" t="n">
        <v>0.55</v>
      </c>
      <c r="L75" s="8" t="n">
        <f aca="false">J75+K75</f>
        <v>1</v>
      </c>
      <c r="M75" s="9" t="str">
        <f aca="false">IF(L75&lt;0.2,"Fold",IF(AND(J75&gt;=0.2,K75&gt;=0.2),"3bet/call",IF(J75&gt;=K75,"3bet","Call")))</f>
        <v>3bet/call</v>
      </c>
      <c r="N75" s="15" t="n">
        <v>1</v>
      </c>
      <c r="O75" s="15" t="n">
        <v>0</v>
      </c>
      <c r="P75" s="8" t="n">
        <f aca="false">N75+O75</f>
        <v>1</v>
      </c>
      <c r="Q75" s="9" t="str">
        <f aca="false">IF(P75&lt;0.2,"Fold",IF(AND(N75&gt;=0.2,O75&gt;=0.2),"3bet/call",IF(N75&gt;=O75,"3bet","Call")))</f>
        <v>3bet</v>
      </c>
    </row>
    <row r="76" customFormat="false" ht="15" hidden="false" customHeight="true" outlineLevel="0" collapsed="false">
      <c r="A76" s="5" t="s">
        <v>157</v>
      </c>
      <c r="B76" s="15" t="n">
        <v>0</v>
      </c>
      <c r="C76" s="15" t="n">
        <v>0.2</v>
      </c>
      <c r="D76" s="8" t="n">
        <f aca="false">B76+C76</f>
        <v>0.2</v>
      </c>
      <c r="E76" s="9" t="str">
        <f aca="false">IF(D76&lt;0.2,"Fold",IF(AND(B76&gt;=0.2,C76&gt;=0.2),"3bet/call",IF(B76&gt;=C76,"3bet","Call")))</f>
        <v>Call</v>
      </c>
      <c r="F76" s="15" t="n">
        <v>0.3</v>
      </c>
      <c r="G76" s="15" t="n">
        <v>0.7</v>
      </c>
      <c r="H76" s="8" t="n">
        <f aca="false">F76+G76</f>
        <v>1</v>
      </c>
      <c r="I76" s="9" t="str">
        <f aca="false">IF(H76&lt;0.2,"Fold",IF(AND(F76&gt;=0.2,G76&gt;=0.2),"3bet/call",IF(F76&gt;=G76,"3bet","Call")))</f>
        <v>3bet/call</v>
      </c>
      <c r="J76" s="15" t="n">
        <v>0</v>
      </c>
      <c r="K76" s="15" t="n">
        <v>1</v>
      </c>
      <c r="L76" s="8" t="n">
        <f aca="false">J76+K76</f>
        <v>1</v>
      </c>
      <c r="M76" s="9" t="str">
        <f aca="false">IF(L76&lt;0.2,"Fold",IF(AND(J76&gt;=0.2,K76&gt;=0.2),"3bet/call",IF(J76&gt;=K76,"3bet","Call")))</f>
        <v>Call</v>
      </c>
      <c r="N76" s="15" t="n">
        <v>0.3</v>
      </c>
      <c r="O76" s="15" t="n">
        <v>0.7</v>
      </c>
      <c r="P76" s="8" t="n">
        <f aca="false">N76+O76</f>
        <v>1</v>
      </c>
      <c r="Q76" s="9" t="str">
        <f aca="false">IF(P76&lt;0.2,"Fold",IF(AND(N76&gt;=0.2,O76&gt;=0.2),"3bet/call",IF(N76&gt;=O76,"3bet","Call")))</f>
        <v>3bet/call</v>
      </c>
    </row>
    <row r="77" customFormat="false" ht="15" hidden="false" customHeight="true" outlineLevel="0" collapsed="false">
      <c r="A77" s="5" t="s">
        <v>158</v>
      </c>
      <c r="B77" s="15" t="n">
        <v>0</v>
      </c>
      <c r="C77" s="15" t="n">
        <v>0</v>
      </c>
      <c r="D77" s="8" t="n">
        <f aca="false">B77+C77</f>
        <v>0</v>
      </c>
      <c r="E77" s="9" t="str">
        <f aca="false">IF(D77&lt;0.2,"Fold",IF(AND(B77&gt;=0.2,C77&gt;=0.2),"3bet/call",IF(B77&gt;=C77,"3bet","Call")))</f>
        <v>Fold</v>
      </c>
      <c r="F77" s="15" t="n">
        <v>0</v>
      </c>
      <c r="G77" s="15" t="n">
        <v>0</v>
      </c>
      <c r="H77" s="8" t="n">
        <f aca="false">F77+G77</f>
        <v>0</v>
      </c>
      <c r="I77" s="9" t="str">
        <f aca="false">IF(H77&lt;0.2,"Fold",IF(AND(F77&gt;=0.2,G77&gt;=0.2),"3bet/call",IF(F77&gt;=G77,"3bet","Call")))</f>
        <v>Fold</v>
      </c>
      <c r="J77" s="15" t="n">
        <v>0.3</v>
      </c>
      <c r="K77" s="15" t="n">
        <v>0</v>
      </c>
      <c r="L77" s="8" t="n">
        <f aca="false">J77+K77</f>
        <v>0.3</v>
      </c>
      <c r="M77" s="9" t="str">
        <f aca="false">IF(L77&lt;0.2,"Fold",IF(AND(J77&gt;=0.2,K77&gt;=0.2),"3bet/call",IF(J77&gt;=K77,"3bet","Call")))</f>
        <v>3bet</v>
      </c>
      <c r="N77" s="15" t="n">
        <v>0.4</v>
      </c>
      <c r="O77" s="15" t="n">
        <v>0.4</v>
      </c>
      <c r="P77" s="8" t="n">
        <f aca="false">N77+O77</f>
        <v>0.8</v>
      </c>
      <c r="Q77" s="9" t="str">
        <f aca="false">IF(P77&lt;0.2,"Fold",IF(AND(N77&gt;=0.2,O77&gt;=0.2),"3bet/call",IF(N77&gt;=O77,"3bet","Call")))</f>
        <v>3bet/call</v>
      </c>
    </row>
    <row r="78" customFormat="false" ht="15" hidden="false" customHeight="true" outlineLevel="0" collapsed="false">
      <c r="A78" s="5" t="s">
        <v>159</v>
      </c>
      <c r="B78" s="15" t="n">
        <v>0</v>
      </c>
      <c r="C78" s="15" t="n">
        <v>0</v>
      </c>
      <c r="D78" s="8" t="n">
        <f aca="false">B78+C78</f>
        <v>0</v>
      </c>
      <c r="E78" s="9" t="str">
        <f aca="false">IF(D78&lt;0.2,"Fold",IF(AND(B78&gt;=0.2,C78&gt;=0.2),"3bet/call",IF(B78&gt;=C78,"3bet","Call")))</f>
        <v>Fold</v>
      </c>
      <c r="F78" s="15" t="n">
        <v>0</v>
      </c>
      <c r="G78" s="15" t="n">
        <v>0</v>
      </c>
      <c r="H78" s="8" t="n">
        <f aca="false">F78+G78</f>
        <v>0</v>
      </c>
      <c r="I78" s="9" t="str">
        <f aca="false">IF(H78&lt;0.2,"Fold",IF(AND(F78&gt;=0.2,G78&gt;=0.2),"3bet/call",IF(F78&gt;=G78,"3bet","Call")))</f>
        <v>Fold</v>
      </c>
      <c r="J78" s="15" t="n">
        <v>0</v>
      </c>
      <c r="K78" s="15" t="n">
        <v>0</v>
      </c>
      <c r="L78" s="8" t="n">
        <f aca="false">J78+K78</f>
        <v>0</v>
      </c>
      <c r="M78" s="9" t="str">
        <f aca="false">IF(L78&lt;0.2,"Fold",IF(AND(J78&gt;=0.2,K78&gt;=0.2),"3bet/call",IF(J78&gt;=K78,"3bet","Call")))</f>
        <v>Fold</v>
      </c>
      <c r="N78" s="15" t="n">
        <v>0</v>
      </c>
      <c r="O78" s="15" t="n">
        <v>0</v>
      </c>
      <c r="P78" s="8" t="n">
        <f aca="false">N78+O78</f>
        <v>0</v>
      </c>
      <c r="Q78" s="9" t="str">
        <f aca="false">IF(P78&lt;0.2,"Fold",IF(AND(N78&gt;=0.2,O78&gt;=0.2),"3bet/call",IF(N78&gt;=O78,"3bet","Call")))</f>
        <v>Fold</v>
      </c>
    </row>
    <row r="79" customFormat="false" ht="15" hidden="false" customHeight="true" outlineLevel="0" collapsed="false">
      <c r="A79" s="5" t="s">
        <v>160</v>
      </c>
      <c r="B79" s="15" t="n">
        <v>0</v>
      </c>
      <c r="C79" s="15" t="n">
        <v>0</v>
      </c>
      <c r="D79" s="8" t="n">
        <f aca="false">B79+C79</f>
        <v>0</v>
      </c>
      <c r="E79" s="9" t="str">
        <f aca="false">IF(D79&lt;0.2,"Fold",IF(AND(B79&gt;=0.2,C79&gt;=0.2),"3bet/call",IF(B79&gt;=C79,"3bet","Call")))</f>
        <v>Fold</v>
      </c>
      <c r="F79" s="15" t="n">
        <v>0</v>
      </c>
      <c r="G79" s="15" t="n">
        <v>0</v>
      </c>
      <c r="H79" s="8" t="n">
        <f aca="false">F79+G79</f>
        <v>0</v>
      </c>
      <c r="I79" s="9" t="str">
        <f aca="false">IF(H79&lt;0.2,"Fold",IF(AND(F79&gt;=0.2,G79&gt;=0.2),"3bet/call",IF(F79&gt;=G79,"3bet","Call")))</f>
        <v>Fold</v>
      </c>
      <c r="J79" s="15" t="n">
        <v>0</v>
      </c>
      <c r="K79" s="15" t="n">
        <v>0</v>
      </c>
      <c r="L79" s="8" t="n">
        <f aca="false">J79+K79</f>
        <v>0</v>
      </c>
      <c r="M79" s="9" t="str">
        <f aca="false">IF(L79&lt;0.2,"Fold",IF(AND(J79&gt;=0.2,K79&gt;=0.2),"3bet/call",IF(J79&gt;=K79,"3bet","Call")))</f>
        <v>Fold</v>
      </c>
      <c r="N79" s="15" t="n">
        <v>0</v>
      </c>
      <c r="O79" s="15" t="n">
        <v>0</v>
      </c>
      <c r="P79" s="8" t="n">
        <f aca="false">N79+O79</f>
        <v>0</v>
      </c>
      <c r="Q79" s="9" t="str">
        <f aca="false">IF(P79&lt;0.2,"Fold",IF(AND(N79&gt;=0.2,O79&gt;=0.2),"3bet/call",IF(N79&gt;=O79,"3bet","Call")))</f>
        <v>Fold</v>
      </c>
    </row>
    <row r="80" customFormat="false" ht="15" hidden="false" customHeight="true" outlineLevel="0" collapsed="false">
      <c r="A80" s="5" t="s">
        <v>161</v>
      </c>
      <c r="B80" s="15" t="n">
        <v>0</v>
      </c>
      <c r="C80" s="15" t="n">
        <v>0</v>
      </c>
      <c r="D80" s="8" t="n">
        <f aca="false">B80+C80</f>
        <v>0</v>
      </c>
      <c r="E80" s="9" t="str">
        <f aca="false">IF(D80&lt;0.2,"Fold",IF(AND(B80&gt;=0.2,C80&gt;=0.2),"3bet/call",IF(B80&gt;=C80,"3bet","Call")))</f>
        <v>Fold</v>
      </c>
      <c r="F80" s="15" t="n">
        <v>0</v>
      </c>
      <c r="G80" s="15" t="n">
        <v>0</v>
      </c>
      <c r="H80" s="8" t="n">
        <f aca="false">F80+G80</f>
        <v>0</v>
      </c>
      <c r="I80" s="9" t="str">
        <f aca="false">IF(H80&lt;0.2,"Fold",IF(AND(F80&gt;=0.2,G80&gt;=0.2),"3bet/call",IF(F80&gt;=G80,"3bet","Call")))</f>
        <v>Fold</v>
      </c>
      <c r="J80" s="15" t="n">
        <v>0</v>
      </c>
      <c r="K80" s="15" t="n">
        <v>0</v>
      </c>
      <c r="L80" s="8" t="n">
        <f aca="false">J80+K80</f>
        <v>0</v>
      </c>
      <c r="M80" s="9" t="str">
        <f aca="false">IF(L80&lt;0.2,"Fold",IF(AND(J80&gt;=0.2,K80&gt;=0.2),"3bet/call",IF(J80&gt;=K80,"3bet","Call")))</f>
        <v>Fold</v>
      </c>
      <c r="N80" s="15" t="n">
        <v>0</v>
      </c>
      <c r="O80" s="15" t="n">
        <v>0</v>
      </c>
      <c r="P80" s="8" t="n">
        <f aca="false">N80+O80</f>
        <v>0</v>
      </c>
      <c r="Q80" s="9" t="str">
        <f aca="false">IF(P80&lt;0.2,"Fold",IF(AND(N80&gt;=0.2,O80&gt;=0.2),"3bet/call",IF(N80&gt;=O80,"3bet","Call")))</f>
        <v>Fold</v>
      </c>
    </row>
    <row r="81" customFormat="false" ht="15" hidden="false" customHeight="true" outlineLevel="0" collapsed="false">
      <c r="A81" s="5" t="s">
        <v>162</v>
      </c>
      <c r="B81" s="15" t="n">
        <v>0</v>
      </c>
      <c r="C81" s="15" t="n">
        <v>0</v>
      </c>
      <c r="D81" s="8" t="n">
        <f aca="false">B81+C81</f>
        <v>0</v>
      </c>
      <c r="E81" s="9" t="str">
        <f aca="false">IF(D81&lt;0.2,"Fold",IF(AND(B81&gt;=0.2,C81&gt;=0.2),"3bet/call",IF(B81&gt;=C81,"3bet","Call")))</f>
        <v>Fold</v>
      </c>
      <c r="F81" s="15" t="n">
        <v>0</v>
      </c>
      <c r="G81" s="15" t="n">
        <v>0</v>
      </c>
      <c r="H81" s="8" t="n">
        <f aca="false">F81+G81</f>
        <v>0</v>
      </c>
      <c r="I81" s="9" t="str">
        <f aca="false">IF(H81&lt;0.2,"Fold",IF(AND(F81&gt;=0.2,G81&gt;=0.2),"3bet/call",IF(F81&gt;=G81,"3bet","Call")))</f>
        <v>Fold</v>
      </c>
      <c r="J81" s="15" t="n">
        <v>0</v>
      </c>
      <c r="K81" s="15" t="n">
        <v>0</v>
      </c>
      <c r="L81" s="8" t="n">
        <f aca="false">J81+K81</f>
        <v>0</v>
      </c>
      <c r="M81" s="9" t="str">
        <f aca="false">IF(L81&lt;0.2,"Fold",IF(AND(J81&gt;=0.2,K81&gt;=0.2),"3bet/call",IF(J81&gt;=K81,"3bet","Call")))</f>
        <v>Fold</v>
      </c>
      <c r="N81" s="15" t="n">
        <v>0</v>
      </c>
      <c r="O81" s="15" t="n">
        <v>0</v>
      </c>
      <c r="P81" s="8" t="n">
        <f aca="false">N81+O81</f>
        <v>0</v>
      </c>
      <c r="Q81" s="9" t="str">
        <f aca="false">IF(P81&lt;0.2,"Fold",IF(AND(N81&gt;=0.2,O81&gt;=0.2),"3bet/call",IF(N81&gt;=O81,"3bet","Call")))</f>
        <v>Fold</v>
      </c>
    </row>
    <row r="82" customFormat="false" ht="15" hidden="false" customHeight="true" outlineLevel="0" collapsed="false">
      <c r="A82" s="5" t="s">
        <v>163</v>
      </c>
      <c r="B82" s="15" t="n">
        <v>0</v>
      </c>
      <c r="C82" s="15" t="n">
        <v>0</v>
      </c>
      <c r="D82" s="8" t="n">
        <f aca="false">B82+C82</f>
        <v>0</v>
      </c>
      <c r="E82" s="9" t="str">
        <f aca="false">IF(D82&lt;0.2,"Fold",IF(AND(B82&gt;=0.2,C82&gt;=0.2),"3bet/call",IF(B82&gt;=C82,"3bet","Call")))</f>
        <v>Fold</v>
      </c>
      <c r="F82" s="15" t="n">
        <v>0</v>
      </c>
      <c r="G82" s="15" t="n">
        <v>0</v>
      </c>
      <c r="H82" s="8" t="n">
        <f aca="false">F82+G82</f>
        <v>0</v>
      </c>
      <c r="I82" s="9" t="str">
        <f aca="false">IF(H82&lt;0.2,"Fold",IF(AND(F82&gt;=0.2,G82&gt;=0.2),"3bet/call",IF(F82&gt;=G82,"3bet","Call")))</f>
        <v>Fold</v>
      </c>
      <c r="J82" s="15" t="n">
        <v>0</v>
      </c>
      <c r="K82" s="15" t="n">
        <v>0</v>
      </c>
      <c r="L82" s="8" t="n">
        <f aca="false">J82+K82</f>
        <v>0</v>
      </c>
      <c r="M82" s="9" t="str">
        <f aca="false">IF(L82&lt;0.2,"Fold",IF(AND(J82&gt;=0.2,K82&gt;=0.2),"3bet/call",IF(J82&gt;=K82,"3bet","Call")))</f>
        <v>Fold</v>
      </c>
      <c r="N82" s="15" t="n">
        <v>0</v>
      </c>
      <c r="O82" s="15" t="n">
        <v>0</v>
      </c>
      <c r="P82" s="8" t="n">
        <f aca="false">N82+O82</f>
        <v>0</v>
      </c>
      <c r="Q82" s="9" t="str">
        <f aca="false">IF(P82&lt;0.2,"Fold",IF(AND(N82&gt;=0.2,O82&gt;=0.2),"3bet/call",IF(N82&gt;=O82,"3bet","Call")))</f>
        <v>Fold</v>
      </c>
    </row>
    <row r="83" customFormat="false" ht="15" hidden="false" customHeight="true" outlineLevel="0" collapsed="false">
      <c r="A83" s="5" t="s">
        <v>164</v>
      </c>
      <c r="B83" s="15" t="n">
        <v>0</v>
      </c>
      <c r="C83" s="15" t="n">
        <v>0</v>
      </c>
      <c r="D83" s="8" t="n">
        <f aca="false">B83+C83</f>
        <v>0</v>
      </c>
      <c r="E83" s="9" t="str">
        <f aca="false">IF(D83&lt;0.2,"Fold",IF(AND(B83&gt;=0.2,C83&gt;=0.2),"3bet/call",IF(B83&gt;=C83,"3bet","Call")))</f>
        <v>Fold</v>
      </c>
      <c r="F83" s="15" t="n">
        <v>0</v>
      </c>
      <c r="G83" s="15" t="n">
        <v>0</v>
      </c>
      <c r="H83" s="8" t="n">
        <f aca="false">F83+G83</f>
        <v>0</v>
      </c>
      <c r="I83" s="9" t="str">
        <f aca="false">IF(H83&lt;0.2,"Fold",IF(AND(F83&gt;=0.2,G83&gt;=0.2),"3bet/call",IF(F83&gt;=G83,"3bet","Call")))</f>
        <v>Fold</v>
      </c>
      <c r="J83" s="15" t="n">
        <v>0.4</v>
      </c>
      <c r="K83" s="15" t="n">
        <v>0</v>
      </c>
      <c r="L83" s="8" t="n">
        <f aca="false">J83+K83</f>
        <v>0.4</v>
      </c>
      <c r="M83" s="9" t="str">
        <f aca="false">IF(L83&lt;0.2,"Fold",IF(AND(J83&gt;=0.2,K83&gt;=0.2),"3bet/call",IF(J83&gt;=K83,"3bet","Call")))</f>
        <v>3bet</v>
      </c>
      <c r="N83" s="15" t="n">
        <v>0.7</v>
      </c>
      <c r="O83" s="15" t="n">
        <v>0.3</v>
      </c>
      <c r="P83" s="8" t="n">
        <f aca="false">N83+O83</f>
        <v>1</v>
      </c>
      <c r="Q83" s="9" t="str">
        <f aca="false">IF(P83&lt;0.2,"Fold",IF(AND(N83&gt;=0.2,O83&gt;=0.2),"3bet/call",IF(N83&gt;=O83,"3bet","Call")))</f>
        <v>3bet/call</v>
      </c>
    </row>
    <row r="84" customFormat="false" ht="15" hidden="false" customHeight="true" outlineLevel="0" collapsed="false">
      <c r="A84" s="5" t="s">
        <v>165</v>
      </c>
      <c r="B84" s="15" t="n">
        <v>0</v>
      </c>
      <c r="C84" s="15" t="n">
        <v>0</v>
      </c>
      <c r="D84" s="8" t="n">
        <f aca="false">B84+C84</f>
        <v>0</v>
      </c>
      <c r="E84" s="9" t="str">
        <f aca="false">IF(D84&lt;0.2,"Fold",IF(AND(B84&gt;=0.2,C84&gt;=0.2),"3bet/call",IF(B84&gt;=C84,"3bet","Call")))</f>
        <v>Fold</v>
      </c>
      <c r="F84" s="15" t="n">
        <v>0</v>
      </c>
      <c r="G84" s="15" t="n">
        <v>0</v>
      </c>
      <c r="H84" s="8" t="n">
        <f aca="false">F84+G84</f>
        <v>0</v>
      </c>
      <c r="I84" s="9" t="str">
        <f aca="false">IF(H84&lt;0.2,"Fold",IF(AND(F84&gt;=0.2,G84&gt;=0.2),"3bet/call",IF(F84&gt;=G84,"3bet","Call")))</f>
        <v>Fold</v>
      </c>
      <c r="J84" s="15" t="n">
        <v>0</v>
      </c>
      <c r="K84" s="15" t="n">
        <v>0</v>
      </c>
      <c r="L84" s="8" t="n">
        <f aca="false">J84+K84</f>
        <v>0</v>
      </c>
      <c r="M84" s="9" t="str">
        <f aca="false">IF(L84&lt;0.2,"Fold",IF(AND(J84&gt;=0.2,K84&gt;=0.2),"3bet/call",IF(J84&gt;=K84,"3bet","Call")))</f>
        <v>Fold</v>
      </c>
      <c r="N84" s="15" t="n">
        <v>0</v>
      </c>
      <c r="O84" s="15" t="n">
        <v>0</v>
      </c>
      <c r="P84" s="8" t="n">
        <f aca="false">N84+O84</f>
        <v>0</v>
      </c>
      <c r="Q84" s="9" t="str">
        <f aca="false">IF(P84&lt;0.2,"Fold",IF(AND(N84&gt;=0.2,O84&gt;=0.2),"3bet/call",IF(N84&gt;=O84,"3bet","Call")))</f>
        <v>Fold</v>
      </c>
    </row>
    <row r="85" customFormat="false" ht="15" hidden="false" customHeight="true" outlineLevel="0" collapsed="false">
      <c r="A85" s="5" t="s">
        <v>166</v>
      </c>
      <c r="B85" s="15" t="n">
        <v>0</v>
      </c>
      <c r="C85" s="15" t="n">
        <v>0</v>
      </c>
      <c r="D85" s="8" t="n">
        <f aca="false">B85+C85</f>
        <v>0</v>
      </c>
      <c r="E85" s="9" t="str">
        <f aca="false">IF(D85&lt;0.2,"Fold",IF(AND(B85&gt;=0.2,C85&gt;=0.2),"3bet/call",IF(B85&gt;=C85,"3bet","Call")))</f>
        <v>Fold</v>
      </c>
      <c r="F85" s="15" t="n">
        <v>0</v>
      </c>
      <c r="G85" s="15" t="n">
        <v>0</v>
      </c>
      <c r="H85" s="8" t="n">
        <f aca="false">F85+G85</f>
        <v>0</v>
      </c>
      <c r="I85" s="9" t="str">
        <f aca="false">IF(H85&lt;0.2,"Fold",IF(AND(F85&gt;=0.2,G85&gt;=0.2),"3bet/call",IF(F85&gt;=G85,"3bet","Call")))</f>
        <v>Fold</v>
      </c>
      <c r="J85" s="15" t="n">
        <v>0</v>
      </c>
      <c r="K85" s="15" t="n">
        <v>0</v>
      </c>
      <c r="L85" s="8" t="n">
        <f aca="false">J85+K85</f>
        <v>0</v>
      </c>
      <c r="M85" s="9" t="str">
        <f aca="false">IF(L85&lt;0.2,"Fold",IF(AND(J85&gt;=0.2,K85&gt;=0.2),"3bet/call",IF(J85&gt;=K85,"3bet","Call")))</f>
        <v>Fold</v>
      </c>
      <c r="N85" s="15" t="n">
        <v>0</v>
      </c>
      <c r="O85" s="15" t="n">
        <v>0</v>
      </c>
      <c r="P85" s="8" t="n">
        <f aca="false">N85+O85</f>
        <v>0</v>
      </c>
      <c r="Q85" s="9" t="str">
        <f aca="false">IF(P85&lt;0.2,"Fold",IF(AND(N85&gt;=0.2,O85&gt;=0.2),"3bet/call",IF(N85&gt;=O85,"3bet","Call")))</f>
        <v>Fold</v>
      </c>
    </row>
    <row r="86" customFormat="false" ht="15" hidden="false" customHeight="true" outlineLevel="0" collapsed="false">
      <c r="A86" s="5" t="s">
        <v>167</v>
      </c>
      <c r="B86" s="15" t="n">
        <v>0</v>
      </c>
      <c r="C86" s="15" t="n">
        <v>0</v>
      </c>
      <c r="D86" s="8" t="n">
        <f aca="false">B86+C86</f>
        <v>0</v>
      </c>
      <c r="E86" s="9" t="str">
        <f aca="false">IF(D86&lt;0.2,"Fold",IF(AND(B86&gt;=0.2,C86&gt;=0.2),"3bet/call",IF(B86&gt;=C86,"3bet","Call")))</f>
        <v>Fold</v>
      </c>
      <c r="F86" s="15" t="n">
        <v>0</v>
      </c>
      <c r="G86" s="15" t="n">
        <v>0</v>
      </c>
      <c r="H86" s="8" t="n">
        <f aca="false">F86+G86</f>
        <v>0</v>
      </c>
      <c r="I86" s="9" t="str">
        <f aca="false">IF(H86&lt;0.2,"Fold",IF(AND(F86&gt;=0.2,G86&gt;=0.2),"3bet/call",IF(F86&gt;=G86,"3bet","Call")))</f>
        <v>Fold</v>
      </c>
      <c r="J86" s="15" t="n">
        <v>0</v>
      </c>
      <c r="K86" s="15" t="n">
        <v>0</v>
      </c>
      <c r="L86" s="8" t="n">
        <f aca="false">J86+K86</f>
        <v>0</v>
      </c>
      <c r="M86" s="9" t="str">
        <f aca="false">IF(L86&lt;0.2,"Fold",IF(AND(J86&gt;=0.2,K86&gt;=0.2),"3bet/call",IF(J86&gt;=K86,"3bet","Call")))</f>
        <v>Fold</v>
      </c>
      <c r="N86" s="15" t="n">
        <v>0</v>
      </c>
      <c r="O86" s="15" t="n">
        <v>0</v>
      </c>
      <c r="P86" s="8" t="n">
        <f aca="false">N86+O86</f>
        <v>0</v>
      </c>
      <c r="Q86" s="9" t="str">
        <f aca="false">IF(P86&lt;0.2,"Fold",IF(AND(N86&gt;=0.2,O86&gt;=0.2),"3bet/call",IF(N86&gt;=O86,"3bet","Call")))</f>
        <v>Fold</v>
      </c>
    </row>
    <row r="87" customFormat="false" ht="15" hidden="false" customHeight="true" outlineLevel="0" collapsed="false">
      <c r="A87" s="5" t="s">
        <v>168</v>
      </c>
      <c r="B87" s="15" t="n">
        <v>0</v>
      </c>
      <c r="C87" s="15" t="n">
        <v>0</v>
      </c>
      <c r="D87" s="8" t="n">
        <f aca="false">B87+C87</f>
        <v>0</v>
      </c>
      <c r="E87" s="9" t="str">
        <f aca="false">IF(D87&lt;0.2,"Fold",IF(AND(B87&gt;=0.2,C87&gt;=0.2),"3bet/call",IF(B87&gt;=C87,"3bet","Call")))</f>
        <v>Fold</v>
      </c>
      <c r="F87" s="15" t="n">
        <v>0</v>
      </c>
      <c r="G87" s="15" t="n">
        <v>0</v>
      </c>
      <c r="H87" s="8" t="n">
        <f aca="false">F87+G87</f>
        <v>0</v>
      </c>
      <c r="I87" s="9" t="str">
        <f aca="false">IF(H87&lt;0.2,"Fold",IF(AND(F87&gt;=0.2,G87&gt;=0.2),"3bet/call",IF(F87&gt;=G87,"3bet","Call")))</f>
        <v>Fold</v>
      </c>
      <c r="J87" s="15" t="n">
        <v>0</v>
      </c>
      <c r="K87" s="15" t="n">
        <v>0</v>
      </c>
      <c r="L87" s="8" t="n">
        <f aca="false">J87+K87</f>
        <v>0</v>
      </c>
      <c r="M87" s="9" t="str">
        <f aca="false">IF(L87&lt;0.2,"Fold",IF(AND(J87&gt;=0.2,K87&gt;=0.2),"3bet/call",IF(J87&gt;=K87,"3bet","Call")))</f>
        <v>Fold</v>
      </c>
      <c r="N87" s="15" t="n">
        <v>0</v>
      </c>
      <c r="O87" s="15" t="n">
        <v>0</v>
      </c>
      <c r="P87" s="8" t="n">
        <f aca="false">N87+O87</f>
        <v>0</v>
      </c>
      <c r="Q87" s="9" t="str">
        <f aca="false">IF(P87&lt;0.2,"Fold",IF(AND(N87&gt;=0.2,O87&gt;=0.2),"3bet/call",IF(N87&gt;=O87,"3bet","Call")))</f>
        <v>Fold</v>
      </c>
    </row>
    <row r="88" customFormat="false" ht="15" hidden="false" customHeight="true" outlineLevel="0" collapsed="false">
      <c r="A88" s="5" t="s">
        <v>169</v>
      </c>
      <c r="B88" s="15" t="n">
        <v>0</v>
      </c>
      <c r="C88" s="15" t="n">
        <v>0</v>
      </c>
      <c r="D88" s="8" t="n">
        <f aca="false">B88+C88</f>
        <v>0</v>
      </c>
      <c r="E88" s="9" t="str">
        <f aca="false">IF(D88&lt;0.2,"Fold",IF(AND(B88&gt;=0.2,C88&gt;=0.2),"3bet/call",IF(B88&gt;=C88,"3bet","Call")))</f>
        <v>Fold</v>
      </c>
      <c r="F88" s="15" t="n">
        <v>0</v>
      </c>
      <c r="G88" s="15" t="n">
        <v>0</v>
      </c>
      <c r="H88" s="8" t="n">
        <f aca="false">F88+G88</f>
        <v>0</v>
      </c>
      <c r="I88" s="9" t="str">
        <f aca="false">IF(H88&lt;0.2,"Fold",IF(AND(F88&gt;=0.2,G88&gt;=0.2),"3bet/call",IF(F88&gt;=G88,"3bet","Call")))</f>
        <v>Fold</v>
      </c>
      <c r="J88" s="15" t="n">
        <v>0</v>
      </c>
      <c r="K88" s="15" t="n">
        <v>0</v>
      </c>
      <c r="L88" s="8" t="n">
        <f aca="false">J88+K88</f>
        <v>0</v>
      </c>
      <c r="M88" s="9" t="str">
        <f aca="false">IF(L88&lt;0.2,"Fold",IF(AND(J88&gt;=0.2,K88&gt;=0.2),"3bet/call",IF(J88&gt;=K88,"3bet","Call")))</f>
        <v>Fold</v>
      </c>
      <c r="N88" s="15" t="n">
        <v>0</v>
      </c>
      <c r="O88" s="15" t="n">
        <v>0</v>
      </c>
      <c r="P88" s="8" t="n">
        <f aca="false">N88+O88</f>
        <v>0</v>
      </c>
      <c r="Q88" s="9" t="str">
        <f aca="false">IF(P88&lt;0.2,"Fold",IF(AND(N88&gt;=0.2,O88&gt;=0.2),"3bet/call",IF(N88&gt;=O88,"3bet","Call")))</f>
        <v>Fold</v>
      </c>
    </row>
    <row r="89" customFormat="false" ht="15" hidden="false" customHeight="true" outlineLevel="0" collapsed="false">
      <c r="A89" s="5" t="s">
        <v>170</v>
      </c>
      <c r="B89" s="15" t="n">
        <v>0.35</v>
      </c>
      <c r="C89" s="15" t="n">
        <v>0.65</v>
      </c>
      <c r="D89" s="8" t="n">
        <f aca="false">B89+C89</f>
        <v>1</v>
      </c>
      <c r="E89" s="9" t="str">
        <f aca="false">IF(D89&lt;0.2,"Fold",IF(AND(B89&gt;=0.2,C89&gt;=0.2),"3bet/call",IF(B89&gt;=C89,"3bet","Call")))</f>
        <v>3bet/call</v>
      </c>
      <c r="F89" s="15" t="n">
        <v>0.45</v>
      </c>
      <c r="G89" s="15" t="n">
        <v>0.55</v>
      </c>
      <c r="H89" s="8" t="n">
        <f aca="false">F89+G89</f>
        <v>1</v>
      </c>
      <c r="I89" s="9" t="str">
        <f aca="false">IF(H89&lt;0.2,"Fold",IF(AND(F89&gt;=0.2,G89&gt;=0.2),"3bet/call",IF(F89&gt;=G89,"3bet","Call")))</f>
        <v>3bet/call</v>
      </c>
      <c r="J89" s="15" t="n">
        <v>0.2</v>
      </c>
      <c r="K89" s="15" t="n">
        <v>0.8</v>
      </c>
      <c r="L89" s="8" t="n">
        <f aca="false">J89+K89</f>
        <v>1</v>
      </c>
      <c r="M89" s="9" t="str">
        <f aca="false">IF(L89&lt;0.2,"Fold",IF(AND(J89&gt;=0.2,K89&gt;=0.2),"3bet/call",IF(J89&gt;=K89,"3bet","Call")))</f>
        <v>3bet/call</v>
      </c>
      <c r="N89" s="15" t="n">
        <v>1</v>
      </c>
      <c r="O89" s="15" t="n">
        <v>0</v>
      </c>
      <c r="P89" s="8" t="n">
        <f aca="false">N89+O89</f>
        <v>1</v>
      </c>
      <c r="Q89" s="9" t="str">
        <f aca="false">IF(P89&lt;0.2,"Fold",IF(AND(N89&gt;=0.2,O89&gt;=0.2),"3bet/call",IF(N89&gt;=O89,"3bet","Call")))</f>
        <v>3bet</v>
      </c>
    </row>
    <row r="90" customFormat="false" ht="15" hidden="false" customHeight="true" outlineLevel="0" collapsed="false">
      <c r="A90" s="5" t="s">
        <v>171</v>
      </c>
      <c r="B90" s="15" t="n">
        <v>0</v>
      </c>
      <c r="C90" s="15" t="n">
        <v>0</v>
      </c>
      <c r="D90" s="8" t="n">
        <f aca="false">B90+C90</f>
        <v>0</v>
      </c>
      <c r="E90" s="9" t="str">
        <f aca="false">IF(D90&lt;0.2,"Fold",IF(AND(B90&gt;=0.2,C90&gt;=0.2),"3bet/call",IF(B90&gt;=C90,"3bet","Call")))</f>
        <v>Fold</v>
      </c>
      <c r="F90" s="15" t="n">
        <v>0</v>
      </c>
      <c r="G90" s="15" t="n">
        <v>0</v>
      </c>
      <c r="H90" s="8" t="n">
        <f aca="false">F90+G90</f>
        <v>0</v>
      </c>
      <c r="I90" s="9" t="str">
        <f aca="false">IF(H90&lt;0.2,"Fold",IF(AND(F90&gt;=0.2,G90&gt;=0.2),"3bet/call",IF(F90&gt;=G90,"3bet","Call")))</f>
        <v>Fold</v>
      </c>
      <c r="J90" s="15" t="n">
        <v>0.2</v>
      </c>
      <c r="K90" s="15" t="n">
        <v>0.8</v>
      </c>
      <c r="L90" s="8" t="n">
        <f aca="false">J90+K90</f>
        <v>1</v>
      </c>
      <c r="M90" s="9" t="str">
        <f aca="false">IF(L90&lt;0.2,"Fold",IF(AND(J90&gt;=0.2,K90&gt;=0.2),"3bet/call",IF(J90&gt;=K90,"3bet","Call")))</f>
        <v>3bet/call</v>
      </c>
      <c r="N90" s="15" t="n">
        <v>0.15</v>
      </c>
      <c r="O90" s="15" t="n">
        <v>0.85</v>
      </c>
      <c r="P90" s="8" t="n">
        <f aca="false">N90+O90</f>
        <v>1</v>
      </c>
      <c r="Q90" s="9" t="str">
        <f aca="false">IF(P90&lt;0.2,"Fold",IF(AND(N90&gt;=0.2,O90&gt;=0.2),"3bet/call",IF(N90&gt;=O90,"3bet","Call")))</f>
        <v>Call</v>
      </c>
    </row>
    <row r="91" customFormat="false" ht="15" hidden="false" customHeight="true" outlineLevel="0" collapsed="false">
      <c r="A91" s="5" t="s">
        <v>172</v>
      </c>
      <c r="B91" s="15" t="n">
        <v>0</v>
      </c>
      <c r="C91" s="15" t="n">
        <v>0</v>
      </c>
      <c r="D91" s="8" t="n">
        <f aca="false">B91+C91</f>
        <v>0</v>
      </c>
      <c r="E91" s="9" t="str">
        <f aca="false">IF(D91&lt;0.2,"Fold",IF(AND(B91&gt;=0.2,C91&gt;=0.2),"3bet/call",IF(B91&gt;=C91,"3bet","Call")))</f>
        <v>Fold</v>
      </c>
      <c r="F91" s="15" t="n">
        <v>0</v>
      </c>
      <c r="G91" s="15" t="n">
        <v>0</v>
      </c>
      <c r="H91" s="8" t="n">
        <f aca="false">F91+G91</f>
        <v>0</v>
      </c>
      <c r="I91" s="9" t="str">
        <f aca="false">IF(H91&lt;0.2,"Fold",IF(AND(F91&gt;=0.2,G91&gt;=0.2),"3bet/call",IF(F91&gt;=G91,"3bet","Call")))</f>
        <v>Fold</v>
      </c>
      <c r="J91" s="15" t="n">
        <v>0</v>
      </c>
      <c r="K91" s="15" t="n">
        <v>0.2</v>
      </c>
      <c r="L91" s="8" t="n">
        <f aca="false">J91+K91</f>
        <v>0.2</v>
      </c>
      <c r="M91" s="9" t="str">
        <f aca="false">IF(L91&lt;0.2,"Fold",IF(AND(J91&gt;=0.2,K91&gt;=0.2),"3bet/call",IF(J91&gt;=K91,"3bet","Call")))</f>
        <v>Call</v>
      </c>
      <c r="N91" s="15" t="n">
        <v>0</v>
      </c>
      <c r="O91" s="15" t="n">
        <v>0</v>
      </c>
      <c r="P91" s="8" t="n">
        <f aca="false">N91+O91</f>
        <v>0</v>
      </c>
      <c r="Q91" s="9" t="str">
        <f aca="false">IF(P91&lt;0.2,"Fold",IF(AND(N91&gt;=0.2,O91&gt;=0.2),"3bet/call",IF(N91&gt;=O91,"3bet","Call")))</f>
        <v>Fold</v>
      </c>
    </row>
    <row r="92" customFormat="false" ht="15" hidden="false" customHeight="true" outlineLevel="0" collapsed="false">
      <c r="A92" s="5" t="s">
        <v>173</v>
      </c>
      <c r="B92" s="15" t="n">
        <v>0</v>
      </c>
      <c r="C92" s="15" t="n">
        <v>0</v>
      </c>
      <c r="D92" s="8" t="n">
        <f aca="false">B92+C92</f>
        <v>0</v>
      </c>
      <c r="E92" s="9" t="str">
        <f aca="false">IF(D92&lt;0.2,"Fold",IF(AND(B92&gt;=0.2,C92&gt;=0.2),"3bet/call",IF(B92&gt;=C92,"3bet","Call")))</f>
        <v>Fold</v>
      </c>
      <c r="F92" s="15" t="n">
        <v>0</v>
      </c>
      <c r="G92" s="15" t="n">
        <v>0</v>
      </c>
      <c r="H92" s="8" t="n">
        <f aca="false">F92+G92</f>
        <v>0</v>
      </c>
      <c r="I92" s="9" t="str">
        <f aca="false">IF(H92&lt;0.2,"Fold",IF(AND(F92&gt;=0.2,G92&gt;=0.2),"3bet/call",IF(F92&gt;=G92,"3bet","Call")))</f>
        <v>Fold</v>
      </c>
      <c r="J92" s="15" t="n">
        <v>0</v>
      </c>
      <c r="K92" s="15" t="n">
        <v>0</v>
      </c>
      <c r="L92" s="8" t="n">
        <f aca="false">J92+K92</f>
        <v>0</v>
      </c>
      <c r="M92" s="9" t="str">
        <f aca="false">IF(L92&lt;0.2,"Fold",IF(AND(J92&gt;=0.2,K92&gt;=0.2),"3bet/call",IF(J92&gt;=K92,"3bet","Call")))</f>
        <v>Fold</v>
      </c>
      <c r="N92" s="15" t="n">
        <v>0</v>
      </c>
      <c r="O92" s="15" t="n">
        <v>0</v>
      </c>
      <c r="P92" s="8" t="n">
        <f aca="false">N92+O92</f>
        <v>0</v>
      </c>
      <c r="Q92" s="9" t="str">
        <f aca="false">IF(P92&lt;0.2,"Fold",IF(AND(N92&gt;=0.2,O92&gt;=0.2),"3bet/call",IF(N92&gt;=O92,"3bet","Call")))</f>
        <v>Fold</v>
      </c>
    </row>
    <row r="93" customFormat="false" ht="15" hidden="false" customHeight="true" outlineLevel="0" collapsed="false">
      <c r="A93" s="5" t="s">
        <v>174</v>
      </c>
      <c r="B93" s="15" t="n">
        <v>0</v>
      </c>
      <c r="C93" s="15" t="n">
        <v>0</v>
      </c>
      <c r="D93" s="8" t="n">
        <f aca="false">B93+C93</f>
        <v>0</v>
      </c>
      <c r="E93" s="9" t="str">
        <f aca="false">IF(D93&lt;0.2,"Fold",IF(AND(B93&gt;=0.2,C93&gt;=0.2),"3bet/call",IF(B93&gt;=C93,"3bet","Call")))</f>
        <v>Fold</v>
      </c>
      <c r="F93" s="15" t="n">
        <v>0</v>
      </c>
      <c r="G93" s="15" t="n">
        <v>0</v>
      </c>
      <c r="H93" s="8" t="n">
        <f aca="false">F93+G93</f>
        <v>0</v>
      </c>
      <c r="I93" s="9" t="str">
        <f aca="false">IF(H93&lt;0.2,"Fold",IF(AND(F93&gt;=0.2,G93&gt;=0.2),"3bet/call",IF(F93&gt;=G93,"3bet","Call")))</f>
        <v>Fold</v>
      </c>
      <c r="J93" s="15" t="n">
        <v>0</v>
      </c>
      <c r="K93" s="15" t="n">
        <v>0</v>
      </c>
      <c r="L93" s="8" t="n">
        <f aca="false">J93+K93</f>
        <v>0</v>
      </c>
      <c r="M93" s="9" t="str">
        <f aca="false">IF(L93&lt;0.2,"Fold",IF(AND(J93&gt;=0.2,K93&gt;=0.2),"3bet/call",IF(J93&gt;=K93,"3bet","Call")))</f>
        <v>Fold</v>
      </c>
      <c r="N93" s="15" t="n">
        <v>0</v>
      </c>
      <c r="O93" s="15" t="n">
        <v>0</v>
      </c>
      <c r="P93" s="8" t="n">
        <f aca="false">N93+O93</f>
        <v>0</v>
      </c>
      <c r="Q93" s="9" t="str">
        <f aca="false">IF(P93&lt;0.2,"Fold",IF(AND(N93&gt;=0.2,O93&gt;=0.2),"3bet/call",IF(N93&gt;=O93,"3bet","Call")))</f>
        <v>Fold</v>
      </c>
    </row>
    <row r="94" customFormat="false" ht="15" hidden="false" customHeight="true" outlineLevel="0" collapsed="false">
      <c r="A94" s="5" t="s">
        <v>175</v>
      </c>
      <c r="B94" s="15" t="n">
        <v>0</v>
      </c>
      <c r="C94" s="15" t="n">
        <v>0</v>
      </c>
      <c r="D94" s="8" t="n">
        <f aca="false">B94+C94</f>
        <v>0</v>
      </c>
      <c r="E94" s="9" t="str">
        <f aca="false">IF(D94&lt;0.2,"Fold",IF(AND(B94&gt;=0.2,C94&gt;=0.2),"3bet/call",IF(B94&gt;=C94,"3bet","Call")))</f>
        <v>Fold</v>
      </c>
      <c r="F94" s="15" t="n">
        <v>0</v>
      </c>
      <c r="G94" s="15" t="n">
        <v>0</v>
      </c>
      <c r="H94" s="8" t="n">
        <f aca="false">F94+G94</f>
        <v>0</v>
      </c>
      <c r="I94" s="9" t="str">
        <f aca="false">IF(H94&lt;0.2,"Fold",IF(AND(F94&gt;=0.2,G94&gt;=0.2),"3bet/call",IF(F94&gt;=G94,"3bet","Call")))</f>
        <v>Fold</v>
      </c>
      <c r="J94" s="15" t="n">
        <v>0</v>
      </c>
      <c r="K94" s="15" t="n">
        <v>0</v>
      </c>
      <c r="L94" s="8" t="n">
        <f aca="false">J94+K94</f>
        <v>0</v>
      </c>
      <c r="M94" s="9" t="str">
        <f aca="false">IF(L94&lt;0.2,"Fold",IF(AND(J94&gt;=0.2,K94&gt;=0.2),"3bet/call",IF(J94&gt;=K94,"3bet","Call")))</f>
        <v>Fold</v>
      </c>
      <c r="N94" s="15" t="n">
        <v>0</v>
      </c>
      <c r="O94" s="15" t="n">
        <v>0</v>
      </c>
      <c r="P94" s="8" t="n">
        <f aca="false">N94+O94</f>
        <v>0</v>
      </c>
      <c r="Q94" s="9" t="str">
        <f aca="false">IF(P94&lt;0.2,"Fold",IF(AND(N94&gt;=0.2,O94&gt;=0.2),"3bet/call",IF(N94&gt;=O94,"3bet","Call")))</f>
        <v>Fold</v>
      </c>
    </row>
    <row r="95" customFormat="false" ht="15" hidden="false" customHeight="true" outlineLevel="0" collapsed="false">
      <c r="A95" s="5" t="s">
        <v>176</v>
      </c>
      <c r="B95" s="15" t="n">
        <v>0</v>
      </c>
      <c r="C95" s="15" t="n">
        <v>0</v>
      </c>
      <c r="D95" s="8" t="n">
        <f aca="false">B95+C95</f>
        <v>0</v>
      </c>
      <c r="E95" s="9" t="str">
        <f aca="false">IF(D95&lt;0.2,"Fold",IF(AND(B95&gt;=0.2,C95&gt;=0.2),"3bet/call",IF(B95&gt;=C95,"3bet","Call")))</f>
        <v>Fold</v>
      </c>
      <c r="F95" s="15" t="n">
        <v>0</v>
      </c>
      <c r="G95" s="15" t="n">
        <v>0</v>
      </c>
      <c r="H95" s="8" t="n">
        <f aca="false">F95+G95</f>
        <v>0</v>
      </c>
      <c r="I95" s="9" t="str">
        <f aca="false">IF(H95&lt;0.2,"Fold",IF(AND(F95&gt;=0.2,G95&gt;=0.2),"3bet/call",IF(F95&gt;=G95,"3bet","Call")))</f>
        <v>Fold</v>
      </c>
      <c r="J95" s="15" t="n">
        <v>0</v>
      </c>
      <c r="K95" s="15" t="n">
        <v>0</v>
      </c>
      <c r="L95" s="8" t="n">
        <f aca="false">J95+K95</f>
        <v>0</v>
      </c>
      <c r="M95" s="9" t="str">
        <f aca="false">IF(L95&lt;0.2,"Fold",IF(AND(J95&gt;=0.2,K95&gt;=0.2),"3bet/call",IF(J95&gt;=K95,"3bet","Call")))</f>
        <v>Fold</v>
      </c>
      <c r="N95" s="15" t="n">
        <v>0</v>
      </c>
      <c r="O95" s="15" t="n">
        <v>0</v>
      </c>
      <c r="P95" s="8" t="n">
        <f aca="false">N95+O95</f>
        <v>0</v>
      </c>
      <c r="Q95" s="9" t="str">
        <f aca="false">IF(P95&lt;0.2,"Fold",IF(AND(N95&gt;=0.2,O95&gt;=0.2),"3bet/call",IF(N95&gt;=O95,"3bet","Call")))</f>
        <v>Fold</v>
      </c>
    </row>
    <row r="96" customFormat="false" ht="15" hidden="false" customHeight="true" outlineLevel="0" collapsed="false">
      <c r="A96" s="5" t="s">
        <v>177</v>
      </c>
      <c r="B96" s="15" t="n">
        <v>0</v>
      </c>
      <c r="C96" s="15" t="n">
        <v>0</v>
      </c>
      <c r="D96" s="8" t="n">
        <f aca="false">B96+C96</f>
        <v>0</v>
      </c>
      <c r="E96" s="9" t="str">
        <f aca="false">IF(D96&lt;0.2,"Fold",IF(AND(B96&gt;=0.2,C96&gt;=0.2),"3bet/call",IF(B96&gt;=C96,"3bet","Call")))</f>
        <v>Fold</v>
      </c>
      <c r="F96" s="15" t="n">
        <v>0</v>
      </c>
      <c r="G96" s="15" t="n">
        <v>0</v>
      </c>
      <c r="H96" s="8" t="n">
        <f aca="false">F96+G96</f>
        <v>0</v>
      </c>
      <c r="I96" s="9" t="str">
        <f aca="false">IF(H96&lt;0.2,"Fold",IF(AND(F96&gt;=0.2,G96&gt;=0.2),"3bet/call",IF(F96&gt;=G96,"3bet","Call")))</f>
        <v>Fold</v>
      </c>
      <c r="J96" s="15" t="n">
        <v>0</v>
      </c>
      <c r="K96" s="15" t="n">
        <v>0</v>
      </c>
      <c r="L96" s="8" t="n">
        <f aca="false">J96+K96</f>
        <v>0</v>
      </c>
      <c r="M96" s="9" t="str">
        <f aca="false">IF(L96&lt;0.2,"Fold",IF(AND(J96&gt;=0.2,K96&gt;=0.2),"3bet/call",IF(J96&gt;=K96,"3bet","Call")))</f>
        <v>Fold</v>
      </c>
      <c r="N96" s="15" t="n">
        <v>0.6</v>
      </c>
      <c r="O96" s="15" t="n">
        <v>0</v>
      </c>
      <c r="P96" s="8" t="n">
        <f aca="false">N96+O96</f>
        <v>0.6</v>
      </c>
      <c r="Q96" s="9" t="str">
        <f aca="false">IF(P96&lt;0.2,"Fold",IF(AND(N96&gt;=0.2,O96&gt;=0.2),"3bet/call",IF(N96&gt;=O96,"3bet","Call")))</f>
        <v>3bet</v>
      </c>
    </row>
    <row r="97" customFormat="false" ht="15" hidden="false" customHeight="true" outlineLevel="0" collapsed="false">
      <c r="A97" s="5" t="s">
        <v>178</v>
      </c>
      <c r="B97" s="15" t="n">
        <v>0</v>
      </c>
      <c r="C97" s="15" t="n">
        <v>0</v>
      </c>
      <c r="D97" s="8" t="n">
        <f aca="false">B97+C97</f>
        <v>0</v>
      </c>
      <c r="E97" s="9" t="str">
        <f aca="false">IF(D97&lt;0.2,"Fold",IF(AND(B97&gt;=0.2,C97&gt;=0.2),"3bet/call",IF(B97&gt;=C97,"3bet","Call")))</f>
        <v>Fold</v>
      </c>
      <c r="F97" s="15" t="n">
        <v>0</v>
      </c>
      <c r="G97" s="15" t="n">
        <v>0</v>
      </c>
      <c r="H97" s="8" t="n">
        <f aca="false">F97+G97</f>
        <v>0</v>
      </c>
      <c r="I97" s="9" t="str">
        <f aca="false">IF(H97&lt;0.2,"Fold",IF(AND(F97&gt;=0.2,G97&gt;=0.2),"3bet/call",IF(F97&gt;=G97,"3bet","Call")))</f>
        <v>Fold</v>
      </c>
      <c r="J97" s="15" t="n">
        <v>0</v>
      </c>
      <c r="K97" s="15" t="n">
        <v>0</v>
      </c>
      <c r="L97" s="8" t="n">
        <f aca="false">J97+K97</f>
        <v>0</v>
      </c>
      <c r="M97" s="9" t="str">
        <f aca="false">IF(L97&lt;0.2,"Fold",IF(AND(J97&gt;=0.2,K97&gt;=0.2),"3bet/call",IF(J97&gt;=K97,"3bet","Call")))</f>
        <v>Fold</v>
      </c>
      <c r="N97" s="15" t="n">
        <v>0</v>
      </c>
      <c r="O97" s="15" t="n">
        <v>0</v>
      </c>
      <c r="P97" s="8" t="n">
        <f aca="false">N97+O97</f>
        <v>0</v>
      </c>
      <c r="Q97" s="9" t="str">
        <f aca="false">IF(P97&lt;0.2,"Fold",IF(AND(N97&gt;=0.2,O97&gt;=0.2),"3bet/call",IF(N97&gt;=O97,"3bet","Call")))</f>
        <v>Fold</v>
      </c>
    </row>
    <row r="98" customFormat="false" ht="15" hidden="false" customHeight="true" outlineLevel="0" collapsed="false">
      <c r="A98" s="5" t="s">
        <v>179</v>
      </c>
      <c r="B98" s="15" t="n">
        <v>0</v>
      </c>
      <c r="C98" s="15" t="n">
        <v>0</v>
      </c>
      <c r="D98" s="8" t="n">
        <f aca="false">B98+C98</f>
        <v>0</v>
      </c>
      <c r="E98" s="9" t="str">
        <f aca="false">IF(D98&lt;0.2,"Fold",IF(AND(B98&gt;=0.2,C98&gt;=0.2),"3bet/call",IF(B98&gt;=C98,"3bet","Call")))</f>
        <v>Fold</v>
      </c>
      <c r="F98" s="15" t="n">
        <v>0</v>
      </c>
      <c r="G98" s="15" t="n">
        <v>0</v>
      </c>
      <c r="H98" s="8" t="n">
        <f aca="false">F98+G98</f>
        <v>0</v>
      </c>
      <c r="I98" s="9" t="str">
        <f aca="false">IF(H98&lt;0.2,"Fold",IF(AND(F98&gt;=0.2,G98&gt;=0.2),"3bet/call",IF(F98&gt;=G98,"3bet","Call")))</f>
        <v>Fold</v>
      </c>
      <c r="J98" s="15" t="n">
        <v>0</v>
      </c>
      <c r="K98" s="15" t="n">
        <v>0</v>
      </c>
      <c r="L98" s="8" t="n">
        <f aca="false">J98+K98</f>
        <v>0</v>
      </c>
      <c r="M98" s="9" t="str">
        <f aca="false">IF(L98&lt;0.2,"Fold",IF(AND(J98&gt;=0.2,K98&gt;=0.2),"3bet/call",IF(J98&gt;=K98,"3bet","Call")))</f>
        <v>Fold</v>
      </c>
      <c r="N98" s="15" t="n">
        <v>0</v>
      </c>
      <c r="O98" s="15" t="n">
        <v>0</v>
      </c>
      <c r="P98" s="8" t="n">
        <f aca="false">N98+O98</f>
        <v>0</v>
      </c>
      <c r="Q98" s="9" t="str">
        <f aca="false">IF(P98&lt;0.2,"Fold",IF(AND(N98&gt;=0.2,O98&gt;=0.2),"3bet/call",IF(N98&gt;=O98,"3bet","Call")))</f>
        <v>Fold</v>
      </c>
    </row>
    <row r="99" customFormat="false" ht="15" hidden="false" customHeight="true" outlineLevel="0" collapsed="false">
      <c r="A99" s="5" t="s">
        <v>180</v>
      </c>
      <c r="B99" s="15" t="n">
        <v>0</v>
      </c>
      <c r="C99" s="15" t="n">
        <v>0</v>
      </c>
      <c r="D99" s="8" t="n">
        <f aca="false">B99+C99</f>
        <v>0</v>
      </c>
      <c r="E99" s="9" t="str">
        <f aca="false">IF(D99&lt;0.2,"Fold",IF(AND(B99&gt;=0.2,C99&gt;=0.2),"3bet/call",IF(B99&gt;=C99,"3bet","Call")))</f>
        <v>Fold</v>
      </c>
      <c r="F99" s="15" t="n">
        <v>0</v>
      </c>
      <c r="G99" s="15" t="n">
        <v>0</v>
      </c>
      <c r="H99" s="8" t="n">
        <f aca="false">F99+G99</f>
        <v>0</v>
      </c>
      <c r="I99" s="9" t="str">
        <f aca="false">IF(H99&lt;0.2,"Fold",IF(AND(F99&gt;=0.2,G99&gt;=0.2),"3bet/call",IF(F99&gt;=G99,"3bet","Call")))</f>
        <v>Fold</v>
      </c>
      <c r="J99" s="15" t="n">
        <v>0</v>
      </c>
      <c r="K99" s="15" t="n">
        <v>0</v>
      </c>
      <c r="L99" s="8" t="n">
        <f aca="false">J99+K99</f>
        <v>0</v>
      </c>
      <c r="M99" s="9" t="str">
        <f aca="false">IF(L99&lt;0.2,"Fold",IF(AND(J99&gt;=0.2,K99&gt;=0.2),"3bet/call",IF(J99&gt;=K99,"3bet","Call")))</f>
        <v>Fold</v>
      </c>
      <c r="N99" s="15" t="n">
        <v>0</v>
      </c>
      <c r="O99" s="15" t="n">
        <v>0</v>
      </c>
      <c r="P99" s="8" t="n">
        <f aca="false">N99+O99</f>
        <v>0</v>
      </c>
      <c r="Q99" s="9" t="str">
        <f aca="false">IF(P99&lt;0.2,"Fold",IF(AND(N99&gt;=0.2,O99&gt;=0.2),"3bet/call",IF(N99&gt;=O99,"3bet","Call")))</f>
        <v>Fold</v>
      </c>
    </row>
    <row r="100" customFormat="false" ht="15" hidden="false" customHeight="true" outlineLevel="0" collapsed="false">
      <c r="A100" s="5" t="s">
        <v>181</v>
      </c>
      <c r="B100" s="15" t="n">
        <v>0</v>
      </c>
      <c r="C100" s="15" t="n">
        <v>0</v>
      </c>
      <c r="D100" s="8" t="n">
        <f aca="false">B100+C100</f>
        <v>0</v>
      </c>
      <c r="E100" s="9" t="str">
        <f aca="false">IF(D100&lt;0.2,"Fold",IF(AND(B100&gt;=0.2,C100&gt;=0.2),"3bet/call",IF(B100&gt;=C100,"3bet","Call")))</f>
        <v>Fold</v>
      </c>
      <c r="F100" s="15" t="n">
        <v>0</v>
      </c>
      <c r="G100" s="15" t="n">
        <v>0</v>
      </c>
      <c r="H100" s="8" t="n">
        <f aca="false">F100+G100</f>
        <v>0</v>
      </c>
      <c r="I100" s="9" t="str">
        <f aca="false">IF(H100&lt;0.2,"Fold",IF(AND(F100&gt;=0.2,G100&gt;=0.2),"3bet/call",IF(F100&gt;=G100,"3bet","Call")))</f>
        <v>Fold</v>
      </c>
      <c r="J100" s="15" t="n">
        <v>0</v>
      </c>
      <c r="K100" s="15" t="n">
        <v>0</v>
      </c>
      <c r="L100" s="8" t="n">
        <f aca="false">J100+K100</f>
        <v>0</v>
      </c>
      <c r="M100" s="9" t="str">
        <f aca="false">IF(L100&lt;0.2,"Fold",IF(AND(J100&gt;=0.2,K100&gt;=0.2),"3bet/call",IF(J100&gt;=K100,"3bet","Call")))</f>
        <v>Fold</v>
      </c>
      <c r="N100" s="15" t="n">
        <v>0</v>
      </c>
      <c r="O100" s="15" t="n">
        <v>0</v>
      </c>
      <c r="P100" s="8" t="n">
        <f aca="false">N100+O100</f>
        <v>0</v>
      </c>
      <c r="Q100" s="9" t="str">
        <f aca="false">IF(P100&lt;0.2,"Fold",IF(AND(N100&gt;=0.2,O100&gt;=0.2),"3bet/call",IF(N100&gt;=O100,"3bet","Call")))</f>
        <v>Fold</v>
      </c>
    </row>
    <row r="101" customFormat="false" ht="15" hidden="false" customHeight="true" outlineLevel="0" collapsed="false">
      <c r="A101" s="5" t="s">
        <v>182</v>
      </c>
      <c r="B101" s="15" t="n">
        <v>0</v>
      </c>
      <c r="C101" s="15" t="n">
        <v>0</v>
      </c>
      <c r="D101" s="8" t="n">
        <f aca="false">B101+C101</f>
        <v>0</v>
      </c>
      <c r="E101" s="9" t="str">
        <f aca="false">IF(D101&lt;0.2,"Fold",IF(AND(B101&gt;=0.2,C101&gt;=0.2),"3bet/call",IF(B101&gt;=C101,"3bet","Call")))</f>
        <v>Fold</v>
      </c>
      <c r="F101" s="15" t="n">
        <v>0</v>
      </c>
      <c r="G101" s="15" t="n">
        <v>0</v>
      </c>
      <c r="H101" s="8" t="n">
        <f aca="false">F101+G101</f>
        <v>0</v>
      </c>
      <c r="I101" s="9" t="str">
        <f aca="false">IF(H101&lt;0.2,"Fold",IF(AND(F101&gt;=0.2,G101&gt;=0.2),"3bet/call",IF(F101&gt;=G101,"3bet","Call")))</f>
        <v>Fold</v>
      </c>
      <c r="J101" s="15" t="n">
        <v>0</v>
      </c>
      <c r="K101" s="15" t="n">
        <v>0</v>
      </c>
      <c r="L101" s="8" t="n">
        <f aca="false">J101+K101</f>
        <v>0</v>
      </c>
      <c r="M101" s="9" t="str">
        <f aca="false">IF(L101&lt;0.2,"Fold",IF(AND(J101&gt;=0.2,K101&gt;=0.2),"3bet/call",IF(J101&gt;=K101,"3bet","Call")))</f>
        <v>Fold</v>
      </c>
      <c r="N101" s="15" t="n">
        <v>0</v>
      </c>
      <c r="O101" s="15" t="n">
        <v>0</v>
      </c>
      <c r="P101" s="8" t="n">
        <f aca="false">N101+O101</f>
        <v>0</v>
      </c>
      <c r="Q101" s="9" t="str">
        <f aca="false">IF(P101&lt;0.2,"Fold",IF(AND(N101&gt;=0.2,O101&gt;=0.2),"3bet/call",IF(N101&gt;=O101,"3bet","Call")))</f>
        <v>Fold</v>
      </c>
    </row>
    <row r="102" customFormat="false" ht="15" hidden="false" customHeight="true" outlineLevel="0" collapsed="false">
      <c r="A102" s="5" t="s">
        <v>183</v>
      </c>
      <c r="B102" s="15" t="n">
        <v>0</v>
      </c>
      <c r="C102" s="15" t="n">
        <v>0</v>
      </c>
      <c r="D102" s="8" t="n">
        <f aca="false">B102+C102</f>
        <v>0</v>
      </c>
      <c r="E102" s="9" t="str">
        <f aca="false">IF(D102&lt;0.2,"Fold",IF(AND(B102&gt;=0.2,C102&gt;=0.2),"3bet/call",IF(B102&gt;=C102,"3bet","Call")))</f>
        <v>Fold</v>
      </c>
      <c r="F102" s="15" t="n">
        <v>0</v>
      </c>
      <c r="G102" s="15" t="n">
        <v>0</v>
      </c>
      <c r="H102" s="8" t="n">
        <f aca="false">F102+G102</f>
        <v>0</v>
      </c>
      <c r="I102" s="9" t="str">
        <f aca="false">IF(H102&lt;0.2,"Fold",IF(AND(F102&gt;=0.2,G102&gt;=0.2),"3bet/call",IF(F102&gt;=G102,"3bet","Call")))</f>
        <v>Fold</v>
      </c>
      <c r="J102" s="15" t="n">
        <v>0</v>
      </c>
      <c r="K102" s="15" t="n">
        <v>0</v>
      </c>
      <c r="L102" s="8" t="n">
        <f aca="false">J102+K102</f>
        <v>0</v>
      </c>
      <c r="M102" s="9" t="str">
        <f aca="false">IF(L102&lt;0.2,"Fold",IF(AND(J102&gt;=0.2,K102&gt;=0.2),"3bet/call",IF(J102&gt;=K102,"3bet","Call")))</f>
        <v>Fold</v>
      </c>
      <c r="N102" s="15" t="n">
        <v>0</v>
      </c>
      <c r="O102" s="15" t="n">
        <v>0</v>
      </c>
      <c r="P102" s="8" t="n">
        <f aca="false">N102+O102</f>
        <v>0</v>
      </c>
      <c r="Q102" s="9" t="str">
        <f aca="false">IF(P102&lt;0.2,"Fold",IF(AND(N102&gt;=0.2,O102&gt;=0.2),"3bet/call",IF(N102&gt;=O102,"3bet","Call")))</f>
        <v>Fold</v>
      </c>
    </row>
    <row r="103" customFormat="false" ht="15" hidden="false" customHeight="true" outlineLevel="0" collapsed="false">
      <c r="A103" s="5" t="s">
        <v>184</v>
      </c>
      <c r="B103" s="15" t="n">
        <v>0.25</v>
      </c>
      <c r="C103" s="15" t="n">
        <v>0.75</v>
      </c>
      <c r="D103" s="8" t="n">
        <f aca="false">B103+C103</f>
        <v>1</v>
      </c>
      <c r="E103" s="9" t="str">
        <f aca="false">IF(D103&lt;0.2,"Fold",IF(AND(B103&gt;=0.2,C103&gt;=0.2),"3bet/call",IF(B103&gt;=C103,"3bet","Call")))</f>
        <v>3bet/call</v>
      </c>
      <c r="F103" s="15" t="n">
        <v>0.15</v>
      </c>
      <c r="G103" s="15" t="n">
        <v>0.85</v>
      </c>
      <c r="H103" s="8" t="n">
        <f aca="false">F103+G103</f>
        <v>1</v>
      </c>
      <c r="I103" s="9" t="str">
        <f aca="false">IF(H103&lt;0.2,"Fold",IF(AND(F103&gt;=0.2,G103&gt;=0.2),"3bet/call",IF(F103&gt;=G103,"3bet","Call")))</f>
        <v>Call</v>
      </c>
      <c r="J103" s="15" t="n">
        <v>0.35</v>
      </c>
      <c r="K103" s="15" t="n">
        <v>0.65</v>
      </c>
      <c r="L103" s="8" t="n">
        <f aca="false">J103+K103</f>
        <v>1</v>
      </c>
      <c r="M103" s="9" t="str">
        <f aca="false">IF(L103&lt;0.2,"Fold",IF(AND(J103&gt;=0.2,K103&gt;=0.2),"3bet/call",IF(J103&gt;=K103,"3bet","Call")))</f>
        <v>3bet/call</v>
      </c>
      <c r="N103" s="15" t="n">
        <v>1</v>
      </c>
      <c r="O103" s="15" t="n">
        <v>0</v>
      </c>
      <c r="P103" s="8" t="n">
        <f aca="false">N103+O103</f>
        <v>1</v>
      </c>
      <c r="Q103" s="9" t="str">
        <f aca="false">IF(P103&lt;0.2,"Fold",IF(AND(N103&gt;=0.2,O103&gt;=0.2),"3bet/call",IF(N103&gt;=O103,"3bet","Call")))</f>
        <v>3bet</v>
      </c>
    </row>
    <row r="104" customFormat="false" ht="15" hidden="false" customHeight="true" outlineLevel="0" collapsed="false">
      <c r="A104" s="5" t="s">
        <v>185</v>
      </c>
      <c r="B104" s="15" t="n">
        <v>0</v>
      </c>
      <c r="C104" s="15" t="n">
        <v>0</v>
      </c>
      <c r="D104" s="8" t="n">
        <f aca="false">B104+C104</f>
        <v>0</v>
      </c>
      <c r="E104" s="9" t="str">
        <f aca="false">IF(D104&lt;0.2,"Fold",IF(AND(B104&gt;=0.2,C104&gt;=0.2),"3bet/call",IF(B104&gt;=C104,"3bet","Call")))</f>
        <v>Fold</v>
      </c>
      <c r="F104" s="15" t="n">
        <v>0</v>
      </c>
      <c r="G104" s="15" t="n">
        <v>0</v>
      </c>
      <c r="H104" s="8" t="n">
        <f aca="false">F104+G104</f>
        <v>0</v>
      </c>
      <c r="I104" s="9" t="str">
        <f aca="false">IF(H104&lt;0.2,"Fold",IF(AND(F104&gt;=0.2,G104&gt;=0.2),"3bet/call",IF(F104&gt;=G104,"3bet","Call")))</f>
        <v>Fold</v>
      </c>
      <c r="J104" s="15" t="n">
        <v>0.05</v>
      </c>
      <c r="K104" s="15" t="n">
        <v>0.95</v>
      </c>
      <c r="L104" s="8" t="n">
        <f aca="false">J104+K104</f>
        <v>1</v>
      </c>
      <c r="M104" s="9" t="str">
        <f aca="false">IF(L104&lt;0.2,"Fold",IF(AND(J104&gt;=0.2,K104&gt;=0.2),"3bet/call",IF(J104&gt;=K104,"3bet","Call")))</f>
        <v>Call</v>
      </c>
      <c r="N104" s="15" t="n">
        <v>0</v>
      </c>
      <c r="O104" s="15" t="n">
        <v>1</v>
      </c>
      <c r="P104" s="8" t="n">
        <f aca="false">N104+O104</f>
        <v>1</v>
      </c>
      <c r="Q104" s="9" t="str">
        <f aca="false">IF(P104&lt;0.2,"Fold",IF(AND(N104&gt;=0.2,O104&gt;=0.2),"3bet/call",IF(N104&gt;=O104,"3bet","Call")))</f>
        <v>Call</v>
      </c>
    </row>
    <row r="105" customFormat="false" ht="15" hidden="false" customHeight="true" outlineLevel="0" collapsed="false">
      <c r="A105" s="5" t="s">
        <v>186</v>
      </c>
      <c r="B105" s="15" t="n">
        <v>0</v>
      </c>
      <c r="C105" s="15" t="n">
        <v>0</v>
      </c>
      <c r="D105" s="8" t="n">
        <f aca="false">B105+C105</f>
        <v>0</v>
      </c>
      <c r="E105" s="9" t="str">
        <f aca="false">IF(D105&lt;0.2,"Fold",IF(AND(B105&gt;=0.2,C105&gt;=0.2),"3bet/call",IF(B105&gt;=C105,"3bet","Call")))</f>
        <v>Fold</v>
      </c>
      <c r="F105" s="15" t="n">
        <v>0</v>
      </c>
      <c r="G105" s="15" t="n">
        <v>0</v>
      </c>
      <c r="H105" s="8" t="n">
        <f aca="false">F105+G105</f>
        <v>0</v>
      </c>
      <c r="I105" s="9" t="str">
        <f aca="false">IF(H105&lt;0.2,"Fold",IF(AND(F105&gt;=0.2,G105&gt;=0.2),"3bet/call",IF(F105&gt;=G105,"3bet","Call")))</f>
        <v>Fold</v>
      </c>
      <c r="J105" s="15" t="n">
        <v>0</v>
      </c>
      <c r="K105" s="15" t="n">
        <v>0</v>
      </c>
      <c r="L105" s="8" t="n">
        <f aca="false">J105+K105</f>
        <v>0</v>
      </c>
      <c r="M105" s="9" t="str">
        <f aca="false">IF(L105&lt;0.2,"Fold",IF(AND(J105&gt;=0.2,K105&gt;=0.2),"3bet/call",IF(J105&gt;=K105,"3bet","Call")))</f>
        <v>Fold</v>
      </c>
      <c r="N105" s="15" t="n">
        <v>0</v>
      </c>
      <c r="O105" s="15" t="n">
        <v>0</v>
      </c>
      <c r="P105" s="8" t="n">
        <f aca="false">N105+O105</f>
        <v>0</v>
      </c>
      <c r="Q105" s="9" t="str">
        <f aca="false">IF(P105&lt;0.2,"Fold",IF(AND(N105&gt;=0.2,O105&gt;=0.2),"3bet/call",IF(N105&gt;=O105,"3bet","Call")))</f>
        <v>Fold</v>
      </c>
    </row>
    <row r="106" customFormat="false" ht="15" hidden="false" customHeight="true" outlineLevel="0" collapsed="false">
      <c r="A106" s="5" t="s">
        <v>187</v>
      </c>
      <c r="B106" s="15" t="n">
        <v>0</v>
      </c>
      <c r="C106" s="15" t="n">
        <v>0</v>
      </c>
      <c r="D106" s="8" t="n">
        <f aca="false">B106+C106</f>
        <v>0</v>
      </c>
      <c r="E106" s="9" t="str">
        <f aca="false">IF(D106&lt;0.2,"Fold",IF(AND(B106&gt;=0.2,C106&gt;=0.2),"3bet/call",IF(B106&gt;=C106,"3bet","Call")))</f>
        <v>Fold</v>
      </c>
      <c r="F106" s="15" t="n">
        <v>0</v>
      </c>
      <c r="G106" s="15" t="n">
        <v>0</v>
      </c>
      <c r="H106" s="8" t="n">
        <f aca="false">F106+G106</f>
        <v>0</v>
      </c>
      <c r="I106" s="9" t="str">
        <f aca="false">IF(H106&lt;0.2,"Fold",IF(AND(F106&gt;=0.2,G106&gt;=0.2),"3bet/call",IF(F106&gt;=G106,"3bet","Call")))</f>
        <v>Fold</v>
      </c>
      <c r="J106" s="15" t="n">
        <v>0</v>
      </c>
      <c r="K106" s="15" t="n">
        <v>0</v>
      </c>
      <c r="L106" s="8" t="n">
        <f aca="false">J106+K106</f>
        <v>0</v>
      </c>
      <c r="M106" s="9" t="str">
        <f aca="false">IF(L106&lt;0.2,"Fold",IF(AND(J106&gt;=0.2,K106&gt;=0.2),"3bet/call",IF(J106&gt;=K106,"3bet","Call")))</f>
        <v>Fold</v>
      </c>
      <c r="N106" s="15" t="n">
        <v>0</v>
      </c>
      <c r="O106" s="15" t="n">
        <v>0</v>
      </c>
      <c r="P106" s="8" t="n">
        <f aca="false">N106+O106</f>
        <v>0</v>
      </c>
      <c r="Q106" s="9" t="str">
        <f aca="false">IF(P106&lt;0.2,"Fold",IF(AND(N106&gt;=0.2,O106&gt;=0.2),"3bet/call",IF(N106&gt;=O106,"3bet","Call")))</f>
        <v>Fold</v>
      </c>
    </row>
    <row r="107" customFormat="false" ht="15" hidden="false" customHeight="true" outlineLevel="0" collapsed="false">
      <c r="A107" s="5" t="s">
        <v>188</v>
      </c>
      <c r="B107" s="15" t="n">
        <v>0</v>
      </c>
      <c r="C107" s="15" t="n">
        <v>0</v>
      </c>
      <c r="D107" s="8" t="n">
        <f aca="false">B107+C107</f>
        <v>0</v>
      </c>
      <c r="E107" s="9" t="str">
        <f aca="false">IF(D107&lt;0.2,"Fold",IF(AND(B107&gt;=0.2,C107&gt;=0.2),"3bet/call",IF(B107&gt;=C107,"3bet","Call")))</f>
        <v>Fold</v>
      </c>
      <c r="F107" s="15" t="n">
        <v>0</v>
      </c>
      <c r="G107" s="15" t="n">
        <v>0</v>
      </c>
      <c r="H107" s="8" t="n">
        <f aca="false">F107+G107</f>
        <v>0</v>
      </c>
      <c r="I107" s="9" t="str">
        <f aca="false">IF(H107&lt;0.2,"Fold",IF(AND(F107&gt;=0.2,G107&gt;=0.2),"3bet/call",IF(F107&gt;=G107,"3bet","Call")))</f>
        <v>Fold</v>
      </c>
      <c r="J107" s="15" t="n">
        <v>0</v>
      </c>
      <c r="K107" s="15" t="n">
        <v>0</v>
      </c>
      <c r="L107" s="8" t="n">
        <f aca="false">J107+K107</f>
        <v>0</v>
      </c>
      <c r="M107" s="9" t="str">
        <f aca="false">IF(L107&lt;0.2,"Fold",IF(AND(J107&gt;=0.2,K107&gt;=0.2),"3bet/call",IF(J107&gt;=K107,"3bet","Call")))</f>
        <v>Fold</v>
      </c>
      <c r="N107" s="15" t="n">
        <v>0</v>
      </c>
      <c r="O107" s="15" t="n">
        <v>0</v>
      </c>
      <c r="P107" s="8" t="n">
        <f aca="false">N107+O107</f>
        <v>0</v>
      </c>
      <c r="Q107" s="9" t="str">
        <f aca="false">IF(P107&lt;0.2,"Fold",IF(AND(N107&gt;=0.2,O107&gt;=0.2),"3bet/call",IF(N107&gt;=O107,"3bet","Call")))</f>
        <v>Fold</v>
      </c>
    </row>
    <row r="108" customFormat="false" ht="15" hidden="false" customHeight="true" outlineLevel="0" collapsed="false">
      <c r="A108" s="5" t="s">
        <v>189</v>
      </c>
      <c r="B108" s="15" t="n">
        <v>0</v>
      </c>
      <c r="C108" s="15" t="n">
        <v>0</v>
      </c>
      <c r="D108" s="8" t="n">
        <f aca="false">B108+C108</f>
        <v>0</v>
      </c>
      <c r="E108" s="9" t="str">
        <f aca="false">IF(D108&lt;0.2,"Fold",IF(AND(B108&gt;=0.2,C108&gt;=0.2),"3bet/call",IF(B108&gt;=C108,"3bet","Call")))</f>
        <v>Fold</v>
      </c>
      <c r="F108" s="15" t="n">
        <v>0</v>
      </c>
      <c r="G108" s="15" t="n">
        <v>0</v>
      </c>
      <c r="H108" s="8" t="n">
        <f aca="false">F108+G108</f>
        <v>0</v>
      </c>
      <c r="I108" s="9" t="str">
        <f aca="false">IF(H108&lt;0.2,"Fold",IF(AND(F108&gt;=0.2,G108&gt;=0.2),"3bet/call",IF(F108&gt;=G108,"3bet","Call")))</f>
        <v>Fold</v>
      </c>
      <c r="J108" s="15" t="n">
        <v>0</v>
      </c>
      <c r="K108" s="15" t="n">
        <v>0</v>
      </c>
      <c r="L108" s="8" t="n">
        <f aca="false">J108+K108</f>
        <v>0</v>
      </c>
      <c r="M108" s="9" t="str">
        <f aca="false">IF(L108&lt;0.2,"Fold",IF(AND(J108&gt;=0.2,K108&gt;=0.2),"3bet/call",IF(J108&gt;=K108,"3bet","Call")))</f>
        <v>Fold</v>
      </c>
      <c r="N108" s="15" t="n">
        <v>0</v>
      </c>
      <c r="O108" s="15" t="n">
        <v>0</v>
      </c>
      <c r="P108" s="8" t="n">
        <f aca="false">N108+O108</f>
        <v>0</v>
      </c>
      <c r="Q108" s="9" t="str">
        <f aca="false">IF(P108&lt;0.2,"Fold",IF(AND(N108&gt;=0.2,O108&gt;=0.2),"3bet/call",IF(N108&gt;=O108,"3bet","Call")))</f>
        <v>Fold</v>
      </c>
    </row>
    <row r="109" customFormat="false" ht="15" hidden="false" customHeight="true" outlineLevel="0" collapsed="false">
      <c r="A109" s="5" t="s">
        <v>190</v>
      </c>
      <c r="B109" s="15" t="n">
        <v>0</v>
      </c>
      <c r="C109" s="15" t="n">
        <v>0</v>
      </c>
      <c r="D109" s="8" t="n">
        <f aca="false">B109+C109</f>
        <v>0</v>
      </c>
      <c r="E109" s="9" t="str">
        <f aca="false">IF(D109&lt;0.2,"Fold",IF(AND(B109&gt;=0.2,C109&gt;=0.2),"3bet/call",IF(B109&gt;=C109,"3bet","Call")))</f>
        <v>Fold</v>
      </c>
      <c r="F109" s="15" t="n">
        <v>0</v>
      </c>
      <c r="G109" s="15" t="n">
        <v>0</v>
      </c>
      <c r="H109" s="8" t="n">
        <f aca="false">F109+G109</f>
        <v>0</v>
      </c>
      <c r="I109" s="9" t="str">
        <f aca="false">IF(H109&lt;0.2,"Fold",IF(AND(F109&gt;=0.2,G109&gt;=0.2),"3bet/call",IF(F109&gt;=G109,"3bet","Call")))</f>
        <v>Fold</v>
      </c>
      <c r="J109" s="15" t="n">
        <v>0</v>
      </c>
      <c r="K109" s="15" t="n">
        <v>0</v>
      </c>
      <c r="L109" s="8" t="n">
        <f aca="false">J109+K109</f>
        <v>0</v>
      </c>
      <c r="M109" s="9" t="str">
        <f aca="false">IF(L109&lt;0.2,"Fold",IF(AND(J109&gt;=0.2,K109&gt;=0.2),"3bet/call",IF(J109&gt;=K109,"3bet","Call")))</f>
        <v>Fold</v>
      </c>
      <c r="N109" s="15" t="n">
        <v>0</v>
      </c>
      <c r="O109" s="15" t="n">
        <v>0</v>
      </c>
      <c r="P109" s="8" t="n">
        <f aca="false">N109+O109</f>
        <v>0</v>
      </c>
      <c r="Q109" s="9" t="str">
        <f aca="false">IF(P109&lt;0.2,"Fold",IF(AND(N109&gt;=0.2,O109&gt;=0.2),"3bet/call",IF(N109&gt;=O109,"3bet","Call")))</f>
        <v>Fold</v>
      </c>
    </row>
    <row r="110" customFormat="false" ht="15" hidden="false" customHeight="true" outlineLevel="0" collapsed="false">
      <c r="A110" s="5" t="s">
        <v>191</v>
      </c>
      <c r="B110" s="15" t="n">
        <v>0</v>
      </c>
      <c r="C110" s="15" t="n">
        <v>0</v>
      </c>
      <c r="D110" s="8" t="n">
        <f aca="false">B110+C110</f>
        <v>0</v>
      </c>
      <c r="E110" s="9" t="str">
        <f aca="false">IF(D110&lt;0.2,"Fold",IF(AND(B110&gt;=0.2,C110&gt;=0.2),"3bet/call",IF(B110&gt;=C110,"3bet","Call")))</f>
        <v>Fold</v>
      </c>
      <c r="F110" s="15" t="n">
        <v>0</v>
      </c>
      <c r="G110" s="15" t="n">
        <v>0</v>
      </c>
      <c r="H110" s="8" t="n">
        <f aca="false">F110+G110</f>
        <v>0</v>
      </c>
      <c r="I110" s="9" t="str">
        <f aca="false">IF(H110&lt;0.2,"Fold",IF(AND(F110&gt;=0.2,G110&gt;=0.2),"3bet/call",IF(F110&gt;=G110,"3bet","Call")))</f>
        <v>Fold</v>
      </c>
      <c r="J110" s="15" t="n">
        <v>0</v>
      </c>
      <c r="K110" s="15" t="n">
        <v>0</v>
      </c>
      <c r="L110" s="8" t="n">
        <f aca="false">J110+K110</f>
        <v>0</v>
      </c>
      <c r="M110" s="9" t="str">
        <f aca="false">IF(L110&lt;0.2,"Fold",IF(AND(J110&gt;=0.2,K110&gt;=0.2),"3bet/call",IF(J110&gt;=K110,"3bet","Call")))</f>
        <v>Fold</v>
      </c>
      <c r="N110" s="15" t="n">
        <v>0</v>
      </c>
      <c r="O110" s="15" t="n">
        <v>0</v>
      </c>
      <c r="P110" s="8" t="n">
        <f aca="false">N110+O110</f>
        <v>0</v>
      </c>
      <c r="Q110" s="9" t="str">
        <f aca="false">IF(P110&lt;0.2,"Fold",IF(AND(N110&gt;=0.2,O110&gt;=0.2),"3bet/call",IF(N110&gt;=O110,"3bet","Call")))</f>
        <v>Fold</v>
      </c>
    </row>
    <row r="111" customFormat="false" ht="15" hidden="false" customHeight="true" outlineLevel="0" collapsed="false">
      <c r="A111" s="5" t="s">
        <v>192</v>
      </c>
      <c r="B111" s="15" t="n">
        <v>0</v>
      </c>
      <c r="C111" s="15" t="n">
        <v>0</v>
      </c>
      <c r="D111" s="8" t="n">
        <f aca="false">B111+C111</f>
        <v>0</v>
      </c>
      <c r="E111" s="9" t="str">
        <f aca="false">IF(D111&lt;0.2,"Fold",IF(AND(B111&gt;=0.2,C111&gt;=0.2),"3bet/call",IF(B111&gt;=C111,"3bet","Call")))</f>
        <v>Fold</v>
      </c>
      <c r="F111" s="15" t="n">
        <v>0</v>
      </c>
      <c r="G111" s="15" t="n">
        <v>0</v>
      </c>
      <c r="H111" s="8" t="n">
        <f aca="false">F111+G111</f>
        <v>0</v>
      </c>
      <c r="I111" s="9" t="str">
        <f aca="false">IF(H111&lt;0.2,"Fold",IF(AND(F111&gt;=0.2,G111&gt;=0.2),"3bet/call",IF(F111&gt;=G111,"3bet","Call")))</f>
        <v>Fold</v>
      </c>
      <c r="J111" s="15" t="n">
        <v>0</v>
      </c>
      <c r="K111" s="15" t="n">
        <v>0</v>
      </c>
      <c r="L111" s="8" t="n">
        <f aca="false">J111+K111</f>
        <v>0</v>
      </c>
      <c r="M111" s="9" t="str">
        <f aca="false">IF(L111&lt;0.2,"Fold",IF(AND(J111&gt;=0.2,K111&gt;=0.2),"3bet/call",IF(J111&gt;=K111,"3bet","Call")))</f>
        <v>Fold</v>
      </c>
      <c r="N111" s="15" t="n">
        <v>0</v>
      </c>
      <c r="O111" s="15" t="n">
        <v>0</v>
      </c>
      <c r="P111" s="8" t="n">
        <f aca="false">N111+O111</f>
        <v>0</v>
      </c>
      <c r="Q111" s="9" t="str">
        <f aca="false">IF(P111&lt;0.2,"Fold",IF(AND(N111&gt;=0.2,O111&gt;=0.2),"3bet/call",IF(N111&gt;=O111,"3bet","Call")))</f>
        <v>Fold</v>
      </c>
    </row>
    <row r="112" customFormat="false" ht="15" hidden="false" customHeight="true" outlineLevel="0" collapsed="false">
      <c r="A112" s="5" t="s">
        <v>193</v>
      </c>
      <c r="B112" s="15" t="n">
        <v>0</v>
      </c>
      <c r="C112" s="15" t="n">
        <v>0</v>
      </c>
      <c r="D112" s="8" t="n">
        <f aca="false">B112+C112</f>
        <v>0</v>
      </c>
      <c r="E112" s="9" t="str">
        <f aca="false">IF(D112&lt;0.2,"Fold",IF(AND(B112&gt;=0.2,C112&gt;=0.2),"3bet/call",IF(B112&gt;=C112,"3bet","Call")))</f>
        <v>Fold</v>
      </c>
      <c r="F112" s="15" t="n">
        <v>0</v>
      </c>
      <c r="G112" s="15" t="n">
        <v>0</v>
      </c>
      <c r="H112" s="8" t="n">
        <f aca="false">F112+G112</f>
        <v>0</v>
      </c>
      <c r="I112" s="9" t="str">
        <f aca="false">IF(H112&lt;0.2,"Fold",IF(AND(F112&gt;=0.2,G112&gt;=0.2),"3bet/call",IF(F112&gt;=G112,"3bet","Call")))</f>
        <v>Fold</v>
      </c>
      <c r="J112" s="15" t="n">
        <v>0</v>
      </c>
      <c r="K112" s="15" t="n">
        <v>0</v>
      </c>
      <c r="L112" s="8" t="n">
        <f aca="false">J112+K112</f>
        <v>0</v>
      </c>
      <c r="M112" s="9" t="str">
        <f aca="false">IF(L112&lt;0.2,"Fold",IF(AND(J112&gt;=0.2,K112&gt;=0.2),"3bet/call",IF(J112&gt;=K112,"3bet","Call")))</f>
        <v>Fold</v>
      </c>
      <c r="N112" s="15" t="n">
        <v>0</v>
      </c>
      <c r="O112" s="15" t="n">
        <v>0</v>
      </c>
      <c r="P112" s="8" t="n">
        <f aca="false">N112+O112</f>
        <v>0</v>
      </c>
      <c r="Q112" s="9" t="str">
        <f aca="false">IF(P112&lt;0.2,"Fold",IF(AND(N112&gt;=0.2,O112&gt;=0.2),"3bet/call",IF(N112&gt;=O112,"3bet","Call")))</f>
        <v>Fold</v>
      </c>
    </row>
    <row r="113" customFormat="false" ht="15" hidden="false" customHeight="true" outlineLevel="0" collapsed="false">
      <c r="A113" s="5" t="s">
        <v>194</v>
      </c>
      <c r="B113" s="15" t="n">
        <v>0</v>
      </c>
      <c r="C113" s="15" t="n">
        <v>0</v>
      </c>
      <c r="D113" s="8" t="n">
        <f aca="false">B113+C113</f>
        <v>0</v>
      </c>
      <c r="E113" s="9" t="str">
        <f aca="false">IF(D113&lt;0.2,"Fold",IF(AND(B113&gt;=0.2,C113&gt;=0.2),"3bet/call",IF(B113&gt;=C113,"3bet","Call")))</f>
        <v>Fold</v>
      </c>
      <c r="F113" s="15" t="n">
        <v>0</v>
      </c>
      <c r="G113" s="15" t="n">
        <v>0</v>
      </c>
      <c r="H113" s="8" t="n">
        <f aca="false">F113+G113</f>
        <v>0</v>
      </c>
      <c r="I113" s="9" t="str">
        <f aca="false">IF(H113&lt;0.2,"Fold",IF(AND(F113&gt;=0.2,G113&gt;=0.2),"3bet/call",IF(F113&gt;=G113,"3bet","Call")))</f>
        <v>Fold</v>
      </c>
      <c r="J113" s="15" t="n">
        <v>0</v>
      </c>
      <c r="K113" s="15" t="n">
        <v>0</v>
      </c>
      <c r="L113" s="8" t="n">
        <f aca="false">J113+K113</f>
        <v>0</v>
      </c>
      <c r="M113" s="9" t="str">
        <f aca="false">IF(L113&lt;0.2,"Fold",IF(AND(J113&gt;=0.2,K113&gt;=0.2),"3bet/call",IF(J113&gt;=K113,"3bet","Call")))</f>
        <v>Fold</v>
      </c>
      <c r="N113" s="15" t="n">
        <v>0</v>
      </c>
      <c r="O113" s="15" t="n">
        <v>0</v>
      </c>
      <c r="P113" s="8" t="n">
        <f aca="false">N113+O113</f>
        <v>0</v>
      </c>
      <c r="Q113" s="9" t="str">
        <f aca="false">IF(P113&lt;0.2,"Fold",IF(AND(N113&gt;=0.2,O113&gt;=0.2),"3bet/call",IF(N113&gt;=O113,"3bet","Call")))</f>
        <v>Fold</v>
      </c>
    </row>
    <row r="114" customFormat="false" ht="15" hidden="false" customHeight="true" outlineLevel="0" collapsed="false">
      <c r="A114" s="5" t="s">
        <v>195</v>
      </c>
      <c r="B114" s="15" t="n">
        <v>0</v>
      </c>
      <c r="C114" s="15" t="n">
        <v>0</v>
      </c>
      <c r="D114" s="8" t="n">
        <f aca="false">B114+C114</f>
        <v>0</v>
      </c>
      <c r="E114" s="9" t="str">
        <f aca="false">IF(D114&lt;0.2,"Fold",IF(AND(B114&gt;=0.2,C114&gt;=0.2),"3bet/call",IF(B114&gt;=C114,"3bet","Call")))</f>
        <v>Fold</v>
      </c>
      <c r="F114" s="15" t="n">
        <v>0</v>
      </c>
      <c r="G114" s="15" t="n">
        <v>0</v>
      </c>
      <c r="H114" s="8" t="n">
        <f aca="false">F114+G114</f>
        <v>0</v>
      </c>
      <c r="I114" s="9" t="str">
        <f aca="false">IF(H114&lt;0.2,"Fold",IF(AND(F114&gt;=0.2,G114&gt;=0.2),"3bet/call",IF(F114&gt;=G114,"3bet","Call")))</f>
        <v>Fold</v>
      </c>
      <c r="J114" s="15" t="n">
        <v>0</v>
      </c>
      <c r="K114" s="15" t="n">
        <v>0</v>
      </c>
      <c r="L114" s="8" t="n">
        <f aca="false">J114+K114</f>
        <v>0</v>
      </c>
      <c r="M114" s="9" t="str">
        <f aca="false">IF(L114&lt;0.2,"Fold",IF(AND(J114&gt;=0.2,K114&gt;=0.2),"3bet/call",IF(J114&gt;=K114,"3bet","Call")))</f>
        <v>Fold</v>
      </c>
      <c r="N114" s="15" t="n">
        <v>0</v>
      </c>
      <c r="O114" s="15" t="n">
        <v>0</v>
      </c>
      <c r="P114" s="8" t="n">
        <f aca="false">N114+O114</f>
        <v>0</v>
      </c>
      <c r="Q114" s="9" t="str">
        <f aca="false">IF(P114&lt;0.2,"Fold",IF(AND(N114&gt;=0.2,O114&gt;=0.2),"3bet/call",IF(N114&gt;=O114,"3bet","Call")))</f>
        <v>Fold</v>
      </c>
    </row>
    <row r="115" customFormat="false" ht="15" hidden="false" customHeight="true" outlineLevel="0" collapsed="false">
      <c r="A115" s="5" t="s">
        <v>196</v>
      </c>
      <c r="B115" s="15" t="n">
        <v>0</v>
      </c>
      <c r="C115" s="15" t="n">
        <v>0</v>
      </c>
      <c r="D115" s="8" t="n">
        <f aca="false">B115+C115</f>
        <v>0</v>
      </c>
      <c r="E115" s="9" t="str">
        <f aca="false">IF(D115&lt;0.2,"Fold",IF(AND(B115&gt;=0.2,C115&gt;=0.2),"3bet/call",IF(B115&gt;=C115,"3bet","Call")))</f>
        <v>Fold</v>
      </c>
      <c r="F115" s="15" t="n">
        <v>0</v>
      </c>
      <c r="G115" s="15" t="n">
        <v>0</v>
      </c>
      <c r="H115" s="8" t="n">
        <f aca="false">F115+G115</f>
        <v>0</v>
      </c>
      <c r="I115" s="9" t="str">
        <f aca="false">IF(H115&lt;0.2,"Fold",IF(AND(F115&gt;=0.2,G115&gt;=0.2),"3bet/call",IF(F115&gt;=G115,"3bet","Call")))</f>
        <v>Fold</v>
      </c>
      <c r="J115" s="15" t="n">
        <v>0</v>
      </c>
      <c r="K115" s="15" t="n">
        <v>0</v>
      </c>
      <c r="L115" s="8" t="n">
        <f aca="false">J115+K115</f>
        <v>0</v>
      </c>
      <c r="M115" s="9" t="str">
        <f aca="false">IF(L115&lt;0.2,"Fold",IF(AND(J115&gt;=0.2,K115&gt;=0.2),"3bet/call",IF(J115&gt;=K115,"3bet","Call")))</f>
        <v>Fold</v>
      </c>
      <c r="N115" s="15" t="n">
        <v>0</v>
      </c>
      <c r="O115" s="15" t="n">
        <v>0</v>
      </c>
      <c r="P115" s="8" t="n">
        <f aca="false">N115+O115</f>
        <v>0</v>
      </c>
      <c r="Q115" s="9" t="str">
        <f aca="false">IF(P115&lt;0.2,"Fold",IF(AND(N115&gt;=0.2,O115&gt;=0.2),"3bet/call",IF(N115&gt;=O115,"3bet","Call")))</f>
        <v>Fold</v>
      </c>
    </row>
    <row r="116" customFormat="false" ht="15" hidden="false" customHeight="true" outlineLevel="0" collapsed="false">
      <c r="A116" s="5" t="s">
        <v>197</v>
      </c>
      <c r="B116" s="15" t="n">
        <v>0</v>
      </c>
      <c r="C116" s="15" t="n">
        <v>0</v>
      </c>
      <c r="D116" s="8" t="n">
        <f aca="false">B116+C116</f>
        <v>0</v>
      </c>
      <c r="E116" s="9" t="str">
        <f aca="false">IF(D116&lt;0.2,"Fold",IF(AND(B116&gt;=0.2,C116&gt;=0.2),"3bet/call",IF(B116&gt;=C116,"3bet","Call")))</f>
        <v>Fold</v>
      </c>
      <c r="F116" s="15" t="n">
        <v>0</v>
      </c>
      <c r="G116" s="15" t="n">
        <v>0</v>
      </c>
      <c r="H116" s="8" t="n">
        <f aca="false">F116+G116</f>
        <v>0</v>
      </c>
      <c r="I116" s="9" t="str">
        <f aca="false">IF(H116&lt;0.2,"Fold",IF(AND(F116&gt;=0.2,G116&gt;=0.2),"3bet/call",IF(F116&gt;=G116,"3bet","Call")))</f>
        <v>Fold</v>
      </c>
      <c r="J116" s="15" t="n">
        <v>0</v>
      </c>
      <c r="K116" s="15" t="n">
        <v>0</v>
      </c>
      <c r="L116" s="8" t="n">
        <f aca="false">J116+K116</f>
        <v>0</v>
      </c>
      <c r="M116" s="9" t="str">
        <f aca="false">IF(L116&lt;0.2,"Fold",IF(AND(J116&gt;=0.2,K116&gt;=0.2),"3bet/call",IF(J116&gt;=K116,"3bet","Call")))</f>
        <v>Fold</v>
      </c>
      <c r="N116" s="15" t="n">
        <v>0</v>
      </c>
      <c r="O116" s="15" t="n">
        <v>0</v>
      </c>
      <c r="P116" s="8" t="n">
        <f aca="false">N116+O116</f>
        <v>0</v>
      </c>
      <c r="Q116" s="9" t="str">
        <f aca="false">IF(P116&lt;0.2,"Fold",IF(AND(N116&gt;=0.2,O116&gt;=0.2),"3bet/call",IF(N116&gt;=O116,"3bet","Call")))</f>
        <v>Fold</v>
      </c>
    </row>
    <row r="117" customFormat="false" ht="15" hidden="false" customHeight="true" outlineLevel="0" collapsed="false">
      <c r="A117" s="5" t="s">
        <v>198</v>
      </c>
      <c r="B117" s="15" t="n">
        <v>0</v>
      </c>
      <c r="C117" s="15" t="n">
        <v>0.7</v>
      </c>
      <c r="D117" s="8" t="n">
        <f aca="false">B117+C117</f>
        <v>0.7</v>
      </c>
      <c r="E117" s="9" t="str">
        <f aca="false">IF(D117&lt;0.2,"Fold",IF(AND(B117&gt;=0.2,C117&gt;=0.2),"3bet/call",IF(B117&gt;=C117,"3bet","Call")))</f>
        <v>Call</v>
      </c>
      <c r="F117" s="15" t="n">
        <v>0</v>
      </c>
      <c r="G117" s="15" t="n">
        <v>1</v>
      </c>
      <c r="H117" s="8" t="n">
        <f aca="false">F117+G117</f>
        <v>1</v>
      </c>
      <c r="I117" s="9" t="str">
        <f aca="false">IF(H117&lt;0.2,"Fold",IF(AND(F117&gt;=0.2,G117&gt;=0.2),"3bet/call",IF(F117&gt;=G117,"3bet","Call")))</f>
        <v>Call</v>
      </c>
      <c r="J117" s="15" t="n">
        <v>0</v>
      </c>
      <c r="K117" s="15" t="n">
        <v>1</v>
      </c>
      <c r="L117" s="8" t="n">
        <f aca="false">J117+K117</f>
        <v>1</v>
      </c>
      <c r="M117" s="9" t="str">
        <f aca="false">IF(L117&lt;0.2,"Fold",IF(AND(J117&gt;=0.2,K117&gt;=0.2),"3bet/call",IF(J117&gt;=K117,"3bet","Call")))</f>
        <v>Call</v>
      </c>
      <c r="N117" s="15" t="n">
        <v>0.55</v>
      </c>
      <c r="O117" s="15" t="n">
        <v>0.45</v>
      </c>
      <c r="P117" s="8" t="n">
        <f aca="false">N117+O117</f>
        <v>1</v>
      </c>
      <c r="Q117" s="9" t="str">
        <f aca="false">IF(P117&lt;0.2,"Fold",IF(AND(N117&gt;=0.2,O117&gt;=0.2),"3bet/call",IF(N117&gt;=O117,"3bet","Call")))</f>
        <v>3bet/call</v>
      </c>
    </row>
    <row r="118" customFormat="false" ht="15" hidden="false" customHeight="true" outlineLevel="0" collapsed="false">
      <c r="A118" s="5" t="s">
        <v>199</v>
      </c>
      <c r="B118" s="15" t="n">
        <v>0</v>
      </c>
      <c r="C118" s="15" t="n">
        <v>0</v>
      </c>
      <c r="D118" s="8" t="n">
        <f aca="false">B118+C118</f>
        <v>0</v>
      </c>
      <c r="E118" s="9" t="str">
        <f aca="false">IF(D118&lt;0.2,"Fold",IF(AND(B118&gt;=0.2,C118&gt;=0.2),"3bet/call",IF(B118&gt;=C118,"3bet","Call")))</f>
        <v>Fold</v>
      </c>
      <c r="F118" s="15" t="n">
        <v>0</v>
      </c>
      <c r="G118" s="15" t="n">
        <v>0</v>
      </c>
      <c r="H118" s="8" t="n">
        <f aca="false">F118+G118</f>
        <v>0</v>
      </c>
      <c r="I118" s="9" t="str">
        <f aca="false">IF(H118&lt;0.2,"Fold",IF(AND(F118&gt;=0.2,G118&gt;=0.2),"3bet/call",IF(F118&gt;=G118,"3bet","Call")))</f>
        <v>Fold</v>
      </c>
      <c r="J118" s="15" t="n">
        <v>0</v>
      </c>
      <c r="K118" s="15" t="n">
        <v>0.2</v>
      </c>
      <c r="L118" s="8" t="n">
        <f aca="false">J118+K118</f>
        <v>0.2</v>
      </c>
      <c r="M118" s="9" t="str">
        <f aca="false">IF(L118&lt;0.2,"Fold",IF(AND(J118&gt;=0.2,K118&gt;=0.2),"3bet/call",IF(J118&gt;=K118,"3bet","Call")))</f>
        <v>Call</v>
      </c>
      <c r="N118" s="15" t="n">
        <v>0</v>
      </c>
      <c r="O118" s="15" t="n">
        <v>0.65</v>
      </c>
      <c r="P118" s="8" t="n">
        <f aca="false">N118+O118</f>
        <v>0.65</v>
      </c>
      <c r="Q118" s="9" t="str">
        <f aca="false">IF(P118&lt;0.2,"Fold",IF(AND(N118&gt;=0.2,O118&gt;=0.2),"3bet/call",IF(N118&gt;=O118,"3bet","Call")))</f>
        <v>Call</v>
      </c>
    </row>
    <row r="119" customFormat="false" ht="15" hidden="false" customHeight="true" outlineLevel="0" collapsed="false">
      <c r="A119" s="5" t="s">
        <v>200</v>
      </c>
      <c r="B119" s="15" t="n">
        <v>0</v>
      </c>
      <c r="C119" s="15" t="n">
        <v>0</v>
      </c>
      <c r="D119" s="8" t="n">
        <f aca="false">B119+C119</f>
        <v>0</v>
      </c>
      <c r="E119" s="9" t="str">
        <f aca="false">IF(D119&lt;0.2,"Fold",IF(AND(B119&gt;=0.2,C119&gt;=0.2),"3bet/call",IF(B119&gt;=C119,"3bet","Call")))</f>
        <v>Fold</v>
      </c>
      <c r="F119" s="15" t="n">
        <v>0</v>
      </c>
      <c r="G119" s="15" t="n">
        <v>0</v>
      </c>
      <c r="H119" s="8" t="n">
        <f aca="false">F119+G119</f>
        <v>0</v>
      </c>
      <c r="I119" s="9" t="str">
        <f aca="false">IF(H119&lt;0.2,"Fold",IF(AND(F119&gt;=0.2,G119&gt;=0.2),"3bet/call",IF(F119&gt;=G119,"3bet","Call")))</f>
        <v>Fold</v>
      </c>
      <c r="J119" s="15" t="n">
        <v>0</v>
      </c>
      <c r="K119" s="15" t="n">
        <v>0</v>
      </c>
      <c r="L119" s="8" t="n">
        <f aca="false">J119+K119</f>
        <v>0</v>
      </c>
      <c r="M119" s="9" t="str">
        <f aca="false">IF(L119&lt;0.2,"Fold",IF(AND(J119&gt;=0.2,K119&gt;=0.2),"3bet/call",IF(J119&gt;=K119,"3bet","Call")))</f>
        <v>Fold</v>
      </c>
      <c r="N119" s="15" t="n">
        <v>0</v>
      </c>
      <c r="O119" s="15" t="n">
        <v>0</v>
      </c>
      <c r="P119" s="8" t="n">
        <f aca="false">N119+O119</f>
        <v>0</v>
      </c>
      <c r="Q119" s="9" t="str">
        <f aca="false">IF(P119&lt;0.2,"Fold",IF(AND(N119&gt;=0.2,O119&gt;=0.2),"3bet/call",IF(N119&gt;=O119,"3bet","Call")))</f>
        <v>Fold</v>
      </c>
    </row>
    <row r="120" customFormat="false" ht="15" hidden="false" customHeight="true" outlineLevel="0" collapsed="false">
      <c r="A120" s="5" t="s">
        <v>201</v>
      </c>
      <c r="B120" s="15" t="n">
        <v>0</v>
      </c>
      <c r="C120" s="15" t="n">
        <v>0</v>
      </c>
      <c r="D120" s="8" t="n">
        <f aca="false">B120+C120</f>
        <v>0</v>
      </c>
      <c r="E120" s="9" t="str">
        <f aca="false">IF(D120&lt;0.2,"Fold",IF(AND(B120&gt;=0.2,C120&gt;=0.2),"3bet/call",IF(B120&gt;=C120,"3bet","Call")))</f>
        <v>Fold</v>
      </c>
      <c r="F120" s="15" t="n">
        <v>0</v>
      </c>
      <c r="G120" s="15" t="n">
        <v>0</v>
      </c>
      <c r="H120" s="8" t="n">
        <f aca="false">F120+G120</f>
        <v>0</v>
      </c>
      <c r="I120" s="9" t="str">
        <f aca="false">IF(H120&lt;0.2,"Fold",IF(AND(F120&gt;=0.2,G120&gt;=0.2),"3bet/call",IF(F120&gt;=G120,"3bet","Call")))</f>
        <v>Fold</v>
      </c>
      <c r="J120" s="15" t="n">
        <v>0</v>
      </c>
      <c r="K120" s="15" t="n">
        <v>0</v>
      </c>
      <c r="L120" s="8" t="n">
        <f aca="false">J120+K120</f>
        <v>0</v>
      </c>
      <c r="M120" s="9" t="str">
        <f aca="false">IF(L120&lt;0.2,"Fold",IF(AND(J120&gt;=0.2,K120&gt;=0.2),"3bet/call",IF(J120&gt;=K120,"3bet","Call")))</f>
        <v>Fold</v>
      </c>
      <c r="N120" s="15" t="n">
        <v>0</v>
      </c>
      <c r="O120" s="15" t="n">
        <v>0</v>
      </c>
      <c r="P120" s="8" t="n">
        <f aca="false">N120+O120</f>
        <v>0</v>
      </c>
      <c r="Q120" s="9" t="str">
        <f aca="false">IF(P120&lt;0.2,"Fold",IF(AND(N120&gt;=0.2,O120&gt;=0.2),"3bet/call",IF(N120&gt;=O120,"3bet","Call")))</f>
        <v>Fold</v>
      </c>
    </row>
    <row r="121" customFormat="false" ht="15" hidden="false" customHeight="true" outlineLevel="0" collapsed="false">
      <c r="A121" s="5" t="s">
        <v>202</v>
      </c>
      <c r="B121" s="15" t="n">
        <v>0</v>
      </c>
      <c r="C121" s="15" t="n">
        <v>0</v>
      </c>
      <c r="D121" s="8" t="n">
        <f aca="false">B121+C121</f>
        <v>0</v>
      </c>
      <c r="E121" s="9" t="str">
        <f aca="false">IF(D121&lt;0.2,"Fold",IF(AND(B121&gt;=0.2,C121&gt;=0.2),"3bet/call",IF(B121&gt;=C121,"3bet","Call")))</f>
        <v>Fold</v>
      </c>
      <c r="F121" s="15" t="n">
        <v>0</v>
      </c>
      <c r="G121" s="15" t="n">
        <v>0</v>
      </c>
      <c r="H121" s="8" t="n">
        <f aca="false">F121+G121</f>
        <v>0</v>
      </c>
      <c r="I121" s="9" t="str">
        <f aca="false">IF(H121&lt;0.2,"Fold",IF(AND(F121&gt;=0.2,G121&gt;=0.2),"3bet/call",IF(F121&gt;=G121,"3bet","Call")))</f>
        <v>Fold</v>
      </c>
      <c r="J121" s="15" t="n">
        <v>0</v>
      </c>
      <c r="K121" s="15" t="n">
        <v>0</v>
      </c>
      <c r="L121" s="8" t="n">
        <f aca="false">J121+K121</f>
        <v>0</v>
      </c>
      <c r="M121" s="9" t="str">
        <f aca="false">IF(L121&lt;0.2,"Fold",IF(AND(J121&gt;=0.2,K121&gt;=0.2),"3bet/call",IF(J121&gt;=K121,"3bet","Call")))</f>
        <v>Fold</v>
      </c>
      <c r="N121" s="15" t="n">
        <v>0</v>
      </c>
      <c r="O121" s="15" t="n">
        <v>0</v>
      </c>
      <c r="P121" s="8" t="n">
        <f aca="false">N121+O121</f>
        <v>0</v>
      </c>
      <c r="Q121" s="9" t="str">
        <f aca="false">IF(P121&lt;0.2,"Fold",IF(AND(N121&gt;=0.2,O121&gt;=0.2),"3bet/call",IF(N121&gt;=O121,"3bet","Call")))</f>
        <v>Fold</v>
      </c>
    </row>
    <row r="122" customFormat="false" ht="15" hidden="false" customHeight="true" outlineLevel="0" collapsed="false">
      <c r="A122" s="5" t="s">
        <v>203</v>
      </c>
      <c r="B122" s="15" t="n">
        <v>0</v>
      </c>
      <c r="C122" s="15" t="n">
        <v>0</v>
      </c>
      <c r="D122" s="8" t="n">
        <f aca="false">B122+C122</f>
        <v>0</v>
      </c>
      <c r="E122" s="9" t="str">
        <f aca="false">IF(D122&lt;0.2,"Fold",IF(AND(B122&gt;=0.2,C122&gt;=0.2),"3bet/call",IF(B122&gt;=C122,"3bet","Call")))</f>
        <v>Fold</v>
      </c>
      <c r="F122" s="15" t="n">
        <v>0</v>
      </c>
      <c r="G122" s="15" t="n">
        <v>0</v>
      </c>
      <c r="H122" s="8" t="n">
        <f aca="false">F122+G122</f>
        <v>0</v>
      </c>
      <c r="I122" s="9" t="str">
        <f aca="false">IF(H122&lt;0.2,"Fold",IF(AND(F122&gt;=0.2,G122&gt;=0.2),"3bet/call",IF(F122&gt;=G122,"3bet","Call")))</f>
        <v>Fold</v>
      </c>
      <c r="J122" s="15" t="n">
        <v>0</v>
      </c>
      <c r="K122" s="15" t="n">
        <v>0</v>
      </c>
      <c r="L122" s="8" t="n">
        <f aca="false">J122+K122</f>
        <v>0</v>
      </c>
      <c r="M122" s="9" t="str">
        <f aca="false">IF(L122&lt;0.2,"Fold",IF(AND(J122&gt;=0.2,K122&gt;=0.2),"3bet/call",IF(J122&gt;=K122,"3bet","Call")))</f>
        <v>Fold</v>
      </c>
      <c r="N122" s="15" t="n">
        <v>0.25</v>
      </c>
      <c r="O122" s="15" t="n">
        <v>0</v>
      </c>
      <c r="P122" s="8" t="n">
        <f aca="false">N122+O122</f>
        <v>0.25</v>
      </c>
      <c r="Q122" s="9" t="str">
        <f aca="false">IF(P122&lt;0.2,"Fold",IF(AND(N122&gt;=0.2,O122&gt;=0.2),"3bet/call",IF(N122&gt;=O122,"3bet","Call")))</f>
        <v>3bet</v>
      </c>
    </row>
    <row r="123" customFormat="false" ht="15" hidden="false" customHeight="true" outlineLevel="0" collapsed="false">
      <c r="A123" s="5" t="s">
        <v>204</v>
      </c>
      <c r="B123" s="15" t="n">
        <v>0</v>
      </c>
      <c r="C123" s="15" t="n">
        <v>0</v>
      </c>
      <c r="D123" s="8" t="n">
        <f aca="false">B123+C123</f>
        <v>0</v>
      </c>
      <c r="E123" s="9" t="str">
        <f aca="false">IF(D123&lt;0.2,"Fold",IF(AND(B123&gt;=0.2,C123&gt;=0.2),"3bet/call",IF(B123&gt;=C123,"3bet","Call")))</f>
        <v>Fold</v>
      </c>
      <c r="F123" s="15" t="n">
        <v>0</v>
      </c>
      <c r="G123" s="15" t="n">
        <v>0</v>
      </c>
      <c r="H123" s="8" t="n">
        <f aca="false">F123+G123</f>
        <v>0</v>
      </c>
      <c r="I123" s="9" t="str">
        <f aca="false">IF(H123&lt;0.2,"Fold",IF(AND(F123&gt;=0.2,G123&gt;=0.2),"3bet/call",IF(F123&gt;=G123,"3bet","Call")))</f>
        <v>Fold</v>
      </c>
      <c r="J123" s="15" t="n">
        <v>0</v>
      </c>
      <c r="K123" s="15" t="n">
        <v>0</v>
      </c>
      <c r="L123" s="8" t="n">
        <f aca="false">J123+K123</f>
        <v>0</v>
      </c>
      <c r="M123" s="9" t="str">
        <f aca="false">IF(L123&lt;0.2,"Fold",IF(AND(J123&gt;=0.2,K123&gt;=0.2),"3bet/call",IF(J123&gt;=K123,"3bet","Call")))</f>
        <v>Fold</v>
      </c>
      <c r="N123" s="15" t="n">
        <v>0</v>
      </c>
      <c r="O123" s="15" t="n">
        <v>0</v>
      </c>
      <c r="P123" s="8" t="n">
        <f aca="false">N123+O123</f>
        <v>0</v>
      </c>
      <c r="Q123" s="9" t="str">
        <f aca="false">IF(P123&lt;0.2,"Fold",IF(AND(N123&gt;=0.2,O123&gt;=0.2),"3bet/call",IF(N123&gt;=O123,"3bet","Call")))</f>
        <v>Fold</v>
      </c>
    </row>
    <row r="124" customFormat="false" ht="15" hidden="false" customHeight="true" outlineLevel="0" collapsed="false">
      <c r="A124" s="5" t="s">
        <v>205</v>
      </c>
      <c r="B124" s="15" t="n">
        <v>0</v>
      </c>
      <c r="C124" s="15" t="n">
        <v>0</v>
      </c>
      <c r="D124" s="8" t="n">
        <f aca="false">B124+C124</f>
        <v>0</v>
      </c>
      <c r="E124" s="9" t="str">
        <f aca="false">IF(D124&lt;0.2,"Fold",IF(AND(B124&gt;=0.2,C124&gt;=0.2),"3bet/call",IF(B124&gt;=C124,"3bet","Call")))</f>
        <v>Fold</v>
      </c>
      <c r="F124" s="15" t="n">
        <v>0</v>
      </c>
      <c r="G124" s="15" t="n">
        <v>0</v>
      </c>
      <c r="H124" s="8" t="n">
        <f aca="false">F124+G124</f>
        <v>0</v>
      </c>
      <c r="I124" s="9" t="str">
        <f aca="false">IF(H124&lt;0.2,"Fold",IF(AND(F124&gt;=0.2,G124&gt;=0.2),"3bet/call",IF(F124&gt;=G124,"3bet","Call")))</f>
        <v>Fold</v>
      </c>
      <c r="J124" s="15" t="n">
        <v>0</v>
      </c>
      <c r="K124" s="15" t="n">
        <v>0</v>
      </c>
      <c r="L124" s="8" t="n">
        <f aca="false">J124+K124</f>
        <v>0</v>
      </c>
      <c r="M124" s="9" t="str">
        <f aca="false">IF(L124&lt;0.2,"Fold",IF(AND(J124&gt;=0.2,K124&gt;=0.2),"3bet/call",IF(J124&gt;=K124,"3bet","Call")))</f>
        <v>Fold</v>
      </c>
      <c r="N124" s="15" t="n">
        <v>0</v>
      </c>
      <c r="O124" s="15" t="n">
        <v>0</v>
      </c>
      <c r="P124" s="8" t="n">
        <f aca="false">N124+O124</f>
        <v>0</v>
      </c>
      <c r="Q124" s="9" t="str">
        <f aca="false">IF(P124&lt;0.2,"Fold",IF(AND(N124&gt;=0.2,O124&gt;=0.2),"3bet/call",IF(N124&gt;=O124,"3bet","Call")))</f>
        <v>Fold</v>
      </c>
    </row>
    <row r="125" customFormat="false" ht="15" hidden="false" customHeight="true" outlineLevel="0" collapsed="false">
      <c r="A125" s="5" t="s">
        <v>206</v>
      </c>
      <c r="B125" s="15" t="n">
        <v>0</v>
      </c>
      <c r="C125" s="15" t="n">
        <v>0</v>
      </c>
      <c r="D125" s="8" t="n">
        <f aca="false">B125+C125</f>
        <v>0</v>
      </c>
      <c r="E125" s="9" t="str">
        <f aca="false">IF(D125&lt;0.2,"Fold",IF(AND(B125&gt;=0.2,C125&gt;=0.2),"3bet/call",IF(B125&gt;=C125,"3bet","Call")))</f>
        <v>Fold</v>
      </c>
      <c r="F125" s="15" t="n">
        <v>0</v>
      </c>
      <c r="G125" s="15" t="n">
        <v>0</v>
      </c>
      <c r="H125" s="8" t="n">
        <f aca="false">F125+G125</f>
        <v>0</v>
      </c>
      <c r="I125" s="9" t="str">
        <f aca="false">IF(H125&lt;0.2,"Fold",IF(AND(F125&gt;=0.2,G125&gt;=0.2),"3bet/call",IF(F125&gt;=G125,"3bet","Call")))</f>
        <v>Fold</v>
      </c>
      <c r="J125" s="15" t="n">
        <v>0</v>
      </c>
      <c r="K125" s="15" t="n">
        <v>0</v>
      </c>
      <c r="L125" s="8" t="n">
        <f aca="false">J125+K125</f>
        <v>0</v>
      </c>
      <c r="M125" s="9" t="str">
        <f aca="false">IF(L125&lt;0.2,"Fold",IF(AND(J125&gt;=0.2,K125&gt;=0.2),"3bet/call",IF(J125&gt;=K125,"3bet","Call")))</f>
        <v>Fold</v>
      </c>
      <c r="N125" s="15" t="n">
        <v>0</v>
      </c>
      <c r="O125" s="15" t="n">
        <v>0</v>
      </c>
      <c r="P125" s="8" t="n">
        <f aca="false">N125+O125</f>
        <v>0</v>
      </c>
      <c r="Q125" s="9" t="str">
        <f aca="false">IF(P125&lt;0.2,"Fold",IF(AND(N125&gt;=0.2,O125&gt;=0.2),"3bet/call",IF(N125&gt;=O125,"3bet","Call")))</f>
        <v>Fold</v>
      </c>
    </row>
    <row r="126" customFormat="false" ht="15" hidden="false" customHeight="true" outlineLevel="0" collapsed="false">
      <c r="A126" s="5" t="s">
        <v>207</v>
      </c>
      <c r="B126" s="15" t="n">
        <v>0</v>
      </c>
      <c r="C126" s="15" t="n">
        <v>0</v>
      </c>
      <c r="D126" s="8" t="n">
        <f aca="false">B126+C126</f>
        <v>0</v>
      </c>
      <c r="E126" s="9" t="str">
        <f aca="false">IF(D126&lt;0.2,"Fold",IF(AND(B126&gt;=0.2,C126&gt;=0.2),"3bet/call",IF(B126&gt;=C126,"3bet","Call")))</f>
        <v>Fold</v>
      </c>
      <c r="F126" s="15" t="n">
        <v>0</v>
      </c>
      <c r="G126" s="15" t="n">
        <v>0</v>
      </c>
      <c r="H126" s="8" t="n">
        <f aca="false">F126+G126</f>
        <v>0</v>
      </c>
      <c r="I126" s="9" t="str">
        <f aca="false">IF(H126&lt;0.2,"Fold",IF(AND(F126&gt;=0.2,G126&gt;=0.2),"3bet/call",IF(F126&gt;=G126,"3bet","Call")))</f>
        <v>Fold</v>
      </c>
      <c r="J126" s="15" t="n">
        <v>0</v>
      </c>
      <c r="K126" s="15" t="n">
        <v>0</v>
      </c>
      <c r="L126" s="8" t="n">
        <f aca="false">J126+K126</f>
        <v>0</v>
      </c>
      <c r="M126" s="9" t="str">
        <f aca="false">IF(L126&lt;0.2,"Fold",IF(AND(J126&gt;=0.2,K126&gt;=0.2),"3bet/call",IF(J126&gt;=K126,"3bet","Call")))</f>
        <v>Fold</v>
      </c>
      <c r="N126" s="15" t="n">
        <v>0</v>
      </c>
      <c r="O126" s="15" t="n">
        <v>0</v>
      </c>
      <c r="P126" s="8" t="n">
        <f aca="false">N126+O126</f>
        <v>0</v>
      </c>
      <c r="Q126" s="9" t="str">
        <f aca="false">IF(P126&lt;0.2,"Fold",IF(AND(N126&gt;=0.2,O126&gt;=0.2),"3bet/call",IF(N126&gt;=O126,"3bet","Call")))</f>
        <v>Fold</v>
      </c>
    </row>
    <row r="127" customFormat="false" ht="15" hidden="false" customHeight="true" outlineLevel="0" collapsed="false">
      <c r="A127" s="5" t="s">
        <v>208</v>
      </c>
      <c r="B127" s="15" t="n">
        <v>0</v>
      </c>
      <c r="C127" s="15" t="n">
        <v>0</v>
      </c>
      <c r="D127" s="8" t="n">
        <f aca="false">B127+C127</f>
        <v>0</v>
      </c>
      <c r="E127" s="9" t="str">
        <f aca="false">IF(D127&lt;0.2,"Fold",IF(AND(B127&gt;=0.2,C127&gt;=0.2),"3bet/call",IF(B127&gt;=C127,"3bet","Call")))</f>
        <v>Fold</v>
      </c>
      <c r="F127" s="15" t="n">
        <v>0</v>
      </c>
      <c r="G127" s="15" t="n">
        <v>0</v>
      </c>
      <c r="H127" s="8" t="n">
        <f aca="false">F127+G127</f>
        <v>0</v>
      </c>
      <c r="I127" s="9" t="str">
        <f aca="false">IF(H127&lt;0.2,"Fold",IF(AND(F127&gt;=0.2,G127&gt;=0.2),"3bet/call",IF(F127&gt;=G127,"3bet","Call")))</f>
        <v>Fold</v>
      </c>
      <c r="J127" s="15" t="n">
        <v>0</v>
      </c>
      <c r="K127" s="15" t="n">
        <v>0</v>
      </c>
      <c r="L127" s="8" t="n">
        <f aca="false">J127+K127</f>
        <v>0</v>
      </c>
      <c r="M127" s="9" t="str">
        <f aca="false">IF(L127&lt;0.2,"Fold",IF(AND(J127&gt;=0.2,K127&gt;=0.2),"3bet/call",IF(J127&gt;=K127,"3bet","Call")))</f>
        <v>Fold</v>
      </c>
      <c r="N127" s="15" t="n">
        <v>0</v>
      </c>
      <c r="O127" s="15" t="n">
        <v>0</v>
      </c>
      <c r="P127" s="8" t="n">
        <f aca="false">N127+O127</f>
        <v>0</v>
      </c>
      <c r="Q127" s="9" t="str">
        <f aca="false">IF(P127&lt;0.2,"Fold",IF(AND(N127&gt;=0.2,O127&gt;=0.2),"3bet/call",IF(N127&gt;=O127,"3bet","Call")))</f>
        <v>Fold</v>
      </c>
    </row>
    <row r="128" customFormat="false" ht="15" hidden="false" customHeight="true" outlineLevel="0" collapsed="false">
      <c r="A128" s="5" t="s">
        <v>209</v>
      </c>
      <c r="B128" s="15" t="n">
        <v>0</v>
      </c>
      <c r="C128" s="15" t="n">
        <v>0</v>
      </c>
      <c r="D128" s="8" t="n">
        <f aca="false">B128+C128</f>
        <v>0</v>
      </c>
      <c r="E128" s="9" t="str">
        <f aca="false">IF(D128&lt;0.2,"Fold",IF(AND(B128&gt;=0.2,C128&gt;=0.2),"3bet/call",IF(B128&gt;=C128,"3bet","Call")))</f>
        <v>Fold</v>
      </c>
      <c r="F128" s="15" t="n">
        <v>0</v>
      </c>
      <c r="G128" s="15" t="n">
        <v>0</v>
      </c>
      <c r="H128" s="8" t="n">
        <f aca="false">F128+G128</f>
        <v>0</v>
      </c>
      <c r="I128" s="9" t="str">
        <f aca="false">IF(H128&lt;0.2,"Fold",IF(AND(F128&gt;=0.2,G128&gt;=0.2),"3bet/call",IF(F128&gt;=G128,"3bet","Call")))</f>
        <v>Fold</v>
      </c>
      <c r="J128" s="15" t="n">
        <v>0</v>
      </c>
      <c r="K128" s="15" t="n">
        <v>0</v>
      </c>
      <c r="L128" s="8" t="n">
        <f aca="false">J128+K128</f>
        <v>0</v>
      </c>
      <c r="M128" s="9" t="str">
        <f aca="false">IF(L128&lt;0.2,"Fold",IF(AND(J128&gt;=0.2,K128&gt;=0.2),"3bet/call",IF(J128&gt;=K128,"3bet","Call")))</f>
        <v>Fold</v>
      </c>
      <c r="N128" s="15" t="n">
        <v>0</v>
      </c>
      <c r="O128" s="15" t="n">
        <v>0</v>
      </c>
      <c r="P128" s="8" t="n">
        <f aca="false">N128+O128</f>
        <v>0</v>
      </c>
      <c r="Q128" s="9" t="str">
        <f aca="false">IF(P128&lt;0.2,"Fold",IF(AND(N128&gt;=0.2,O128&gt;=0.2),"3bet/call",IF(N128&gt;=O128,"3bet","Call")))</f>
        <v>Fold</v>
      </c>
    </row>
    <row r="129" customFormat="false" ht="15" hidden="false" customHeight="true" outlineLevel="0" collapsed="false">
      <c r="A129" s="5" t="s">
        <v>210</v>
      </c>
      <c r="B129" s="15" t="n">
        <v>0</v>
      </c>
      <c r="C129" s="15" t="n">
        <v>0</v>
      </c>
      <c r="D129" s="8" t="n">
        <f aca="false">B129+C129</f>
        <v>0</v>
      </c>
      <c r="E129" s="9" t="str">
        <f aca="false">IF(D129&lt;0.2,"Fold",IF(AND(B129&gt;=0.2,C129&gt;=0.2),"3bet/call",IF(B129&gt;=C129,"3bet","Call")))</f>
        <v>Fold</v>
      </c>
      <c r="F129" s="15" t="n">
        <v>0</v>
      </c>
      <c r="G129" s="15" t="n">
        <v>0</v>
      </c>
      <c r="H129" s="8" t="n">
        <f aca="false">F129+G129</f>
        <v>0</v>
      </c>
      <c r="I129" s="9" t="str">
        <f aca="false">IF(H129&lt;0.2,"Fold",IF(AND(F129&gt;=0.2,G129&gt;=0.2),"3bet/call",IF(F129&gt;=G129,"3bet","Call")))</f>
        <v>Fold</v>
      </c>
      <c r="J129" s="15" t="n">
        <v>0</v>
      </c>
      <c r="K129" s="15" t="n">
        <v>0</v>
      </c>
      <c r="L129" s="8" t="n">
        <f aca="false">J129+K129</f>
        <v>0</v>
      </c>
      <c r="M129" s="9" t="str">
        <f aca="false">IF(L129&lt;0.2,"Fold",IF(AND(J129&gt;=0.2,K129&gt;=0.2),"3bet/call",IF(J129&gt;=K129,"3bet","Call")))</f>
        <v>Fold</v>
      </c>
      <c r="N129" s="15" t="n">
        <v>0</v>
      </c>
      <c r="O129" s="15" t="n">
        <v>0</v>
      </c>
      <c r="P129" s="8" t="n">
        <f aca="false">N129+O129</f>
        <v>0</v>
      </c>
      <c r="Q129" s="9" t="str">
        <f aca="false">IF(P129&lt;0.2,"Fold",IF(AND(N129&gt;=0.2,O129&gt;=0.2),"3bet/call",IF(N129&gt;=O129,"3bet","Call")))</f>
        <v>Fold</v>
      </c>
    </row>
    <row r="130" customFormat="false" ht="15" hidden="false" customHeight="true" outlineLevel="0" collapsed="false">
      <c r="A130" s="5" t="s">
        <v>211</v>
      </c>
      <c r="B130" s="15" t="n">
        <v>0</v>
      </c>
      <c r="C130" s="15" t="n">
        <v>0</v>
      </c>
      <c r="D130" s="8" t="n">
        <f aca="false">B130+C130</f>
        <v>0</v>
      </c>
      <c r="E130" s="9" t="str">
        <f aca="false">IF(D130&lt;0.2,"Fold",IF(AND(B130&gt;=0.2,C130&gt;=0.2),"3bet/call",IF(B130&gt;=C130,"3bet","Call")))</f>
        <v>Fold</v>
      </c>
      <c r="F130" s="15" t="n">
        <v>0</v>
      </c>
      <c r="G130" s="15" t="n">
        <v>0</v>
      </c>
      <c r="H130" s="8" t="n">
        <f aca="false">F130+G130</f>
        <v>0</v>
      </c>
      <c r="I130" s="9" t="str">
        <f aca="false">IF(H130&lt;0.2,"Fold",IF(AND(F130&gt;=0.2,G130&gt;=0.2),"3bet/call",IF(F130&gt;=G130,"3bet","Call")))</f>
        <v>Fold</v>
      </c>
      <c r="J130" s="15" t="n">
        <v>0</v>
      </c>
      <c r="K130" s="15" t="n">
        <v>0</v>
      </c>
      <c r="L130" s="8" t="n">
        <f aca="false">J130+K130</f>
        <v>0</v>
      </c>
      <c r="M130" s="9" t="str">
        <f aca="false">IF(L130&lt;0.2,"Fold",IF(AND(J130&gt;=0.2,K130&gt;=0.2),"3bet/call",IF(J130&gt;=K130,"3bet","Call")))</f>
        <v>Fold</v>
      </c>
      <c r="N130" s="15" t="n">
        <v>0</v>
      </c>
      <c r="O130" s="15" t="n">
        <v>0</v>
      </c>
      <c r="P130" s="8" t="n">
        <f aca="false">N130+O130</f>
        <v>0</v>
      </c>
      <c r="Q130" s="9" t="str">
        <f aca="false">IF(P130&lt;0.2,"Fold",IF(AND(N130&gt;=0.2,O130&gt;=0.2),"3bet/call",IF(N130&gt;=O130,"3bet","Call")))</f>
        <v>Fold</v>
      </c>
    </row>
    <row r="131" customFormat="false" ht="15" hidden="false" customHeight="true" outlineLevel="0" collapsed="false">
      <c r="A131" s="5" t="s">
        <v>212</v>
      </c>
      <c r="B131" s="15" t="n">
        <v>0</v>
      </c>
      <c r="C131" s="15" t="n">
        <v>0.45</v>
      </c>
      <c r="D131" s="8" t="n">
        <f aca="false">B131+C131</f>
        <v>0.45</v>
      </c>
      <c r="E131" s="9" t="str">
        <f aca="false">IF(D131&lt;0.2,"Fold",IF(AND(B131&gt;=0.2,C131&gt;=0.2),"3bet/call",IF(B131&gt;=C131,"3bet","Call")))</f>
        <v>Call</v>
      </c>
      <c r="F131" s="15" t="n">
        <v>0.1</v>
      </c>
      <c r="G131" s="15" t="n">
        <v>0.9</v>
      </c>
      <c r="H131" s="8" t="n">
        <f aca="false">F131+G131</f>
        <v>1</v>
      </c>
      <c r="I131" s="9" t="str">
        <f aca="false">IF(H131&lt;0.2,"Fold",IF(AND(F131&gt;=0.2,G131&gt;=0.2),"3bet/call",IF(F131&gt;=G131,"3bet","Call")))</f>
        <v>Call</v>
      </c>
      <c r="J131" s="15" t="n">
        <v>0</v>
      </c>
      <c r="K131" s="15" t="n">
        <v>1</v>
      </c>
      <c r="L131" s="8" t="n">
        <f aca="false">J131+K131</f>
        <v>1</v>
      </c>
      <c r="M131" s="9" t="str">
        <f aca="false">IF(L131&lt;0.2,"Fold",IF(AND(J131&gt;=0.2,K131&gt;=0.2),"3bet/call",IF(J131&gt;=K131,"3bet","Call")))</f>
        <v>Call</v>
      </c>
      <c r="N131" s="15" t="n">
        <v>0.55</v>
      </c>
      <c r="O131" s="15" t="n">
        <v>0.45</v>
      </c>
      <c r="P131" s="8" t="n">
        <f aca="false">N131+O131</f>
        <v>1</v>
      </c>
      <c r="Q131" s="9" t="str">
        <f aca="false">IF(P131&lt;0.2,"Fold",IF(AND(N131&gt;=0.2,O131&gt;=0.2),"3bet/call",IF(N131&gt;=O131,"3bet","Call")))</f>
        <v>3bet/call</v>
      </c>
    </row>
    <row r="132" customFormat="false" ht="15" hidden="false" customHeight="true" outlineLevel="0" collapsed="false">
      <c r="A132" s="5" t="s">
        <v>213</v>
      </c>
      <c r="B132" s="15" t="n">
        <v>0</v>
      </c>
      <c r="C132" s="15" t="n">
        <v>0</v>
      </c>
      <c r="D132" s="8" t="n">
        <f aca="false">B132+C132</f>
        <v>0</v>
      </c>
      <c r="E132" s="9" t="str">
        <f aca="false">IF(D132&lt;0.2,"Fold",IF(AND(B132&gt;=0.2,C132&gt;=0.2),"3bet/call",IF(B132&gt;=C132,"3bet","Call")))</f>
        <v>Fold</v>
      </c>
      <c r="F132" s="15" t="n">
        <v>0</v>
      </c>
      <c r="G132" s="15" t="n">
        <v>0</v>
      </c>
      <c r="H132" s="8" t="n">
        <f aca="false">F132+G132</f>
        <v>0</v>
      </c>
      <c r="I132" s="9" t="str">
        <f aca="false">IF(H132&lt;0.2,"Fold",IF(AND(F132&gt;=0.2,G132&gt;=0.2),"3bet/call",IF(F132&gt;=G132,"3bet","Call")))</f>
        <v>Fold</v>
      </c>
      <c r="J132" s="15" t="n">
        <v>0.05</v>
      </c>
      <c r="K132" s="15" t="n">
        <v>0.35</v>
      </c>
      <c r="L132" s="8" t="n">
        <f aca="false">J132+K132</f>
        <v>0.4</v>
      </c>
      <c r="M132" s="9" t="str">
        <f aca="false">IF(L132&lt;0.2,"Fold",IF(AND(J132&gt;=0.2,K132&gt;=0.2),"3bet/call",IF(J132&gt;=K132,"3bet","Call")))</f>
        <v>Call</v>
      </c>
      <c r="N132" s="15" t="n">
        <v>0</v>
      </c>
      <c r="O132" s="15" t="n">
        <v>0.45</v>
      </c>
      <c r="P132" s="8" t="n">
        <f aca="false">N132+O132</f>
        <v>0.45</v>
      </c>
      <c r="Q132" s="9" t="str">
        <f aca="false">IF(P132&lt;0.2,"Fold",IF(AND(N132&gt;=0.2,O132&gt;=0.2),"3bet/call",IF(N132&gt;=O132,"3bet","Call")))</f>
        <v>Call</v>
      </c>
    </row>
    <row r="133" customFormat="false" ht="15" hidden="false" customHeight="true" outlineLevel="0" collapsed="false">
      <c r="A133" s="5" t="s">
        <v>214</v>
      </c>
      <c r="B133" s="15" t="n">
        <v>0</v>
      </c>
      <c r="C133" s="15" t="n">
        <v>0</v>
      </c>
      <c r="D133" s="8" t="n">
        <f aca="false">B133+C133</f>
        <v>0</v>
      </c>
      <c r="E133" s="9" t="str">
        <f aca="false">IF(D133&lt;0.2,"Fold",IF(AND(B133&gt;=0.2,C133&gt;=0.2),"3bet/call",IF(B133&gt;=C133,"3bet","Call")))</f>
        <v>Fold</v>
      </c>
      <c r="F133" s="15" t="n">
        <v>0</v>
      </c>
      <c r="G133" s="15" t="n">
        <v>0</v>
      </c>
      <c r="H133" s="8" t="n">
        <f aca="false">F133+G133</f>
        <v>0</v>
      </c>
      <c r="I133" s="9" t="str">
        <f aca="false">IF(H133&lt;0.2,"Fold",IF(AND(F133&gt;=0.2,G133&gt;=0.2),"3bet/call",IF(F133&gt;=G133,"3bet","Call")))</f>
        <v>Fold</v>
      </c>
      <c r="J133" s="15" t="n">
        <v>0</v>
      </c>
      <c r="K133" s="15" t="n">
        <v>0</v>
      </c>
      <c r="L133" s="8" t="n">
        <f aca="false">J133+K133</f>
        <v>0</v>
      </c>
      <c r="M133" s="9" t="str">
        <f aca="false">IF(L133&lt;0.2,"Fold",IF(AND(J133&gt;=0.2,K133&gt;=0.2),"3bet/call",IF(J133&gt;=K133,"3bet","Call")))</f>
        <v>Fold</v>
      </c>
      <c r="N133" s="15" t="n">
        <v>0</v>
      </c>
      <c r="O133" s="15" t="n">
        <v>0</v>
      </c>
      <c r="P133" s="8" t="n">
        <f aca="false">N133+O133</f>
        <v>0</v>
      </c>
      <c r="Q133" s="9" t="str">
        <f aca="false">IF(P133&lt;0.2,"Fold",IF(AND(N133&gt;=0.2,O133&gt;=0.2),"3bet/call",IF(N133&gt;=O133,"3bet","Call")))</f>
        <v>Fold</v>
      </c>
    </row>
    <row r="134" customFormat="false" ht="15" hidden="false" customHeight="true" outlineLevel="0" collapsed="false">
      <c r="A134" s="5" t="s">
        <v>215</v>
      </c>
      <c r="B134" s="15" t="n">
        <v>0</v>
      </c>
      <c r="C134" s="15" t="n">
        <v>0</v>
      </c>
      <c r="D134" s="8" t="n">
        <f aca="false">B134+C134</f>
        <v>0</v>
      </c>
      <c r="E134" s="9" t="str">
        <f aca="false">IF(D134&lt;0.2,"Fold",IF(AND(B134&gt;=0.2,C134&gt;=0.2),"3bet/call",IF(B134&gt;=C134,"3bet","Call")))</f>
        <v>Fold</v>
      </c>
      <c r="F134" s="15" t="n">
        <v>0</v>
      </c>
      <c r="G134" s="15" t="n">
        <v>0</v>
      </c>
      <c r="H134" s="8" t="n">
        <f aca="false">F134+G134</f>
        <v>0</v>
      </c>
      <c r="I134" s="9" t="str">
        <f aca="false">IF(H134&lt;0.2,"Fold",IF(AND(F134&gt;=0.2,G134&gt;=0.2),"3bet/call",IF(F134&gt;=G134,"3bet","Call")))</f>
        <v>Fold</v>
      </c>
      <c r="J134" s="15" t="n">
        <v>0</v>
      </c>
      <c r="K134" s="15" t="n">
        <v>0</v>
      </c>
      <c r="L134" s="8" t="n">
        <f aca="false">J134+K134</f>
        <v>0</v>
      </c>
      <c r="M134" s="9" t="str">
        <f aca="false">IF(L134&lt;0.2,"Fold",IF(AND(J134&gt;=0.2,K134&gt;=0.2),"3bet/call",IF(J134&gt;=K134,"3bet","Call")))</f>
        <v>Fold</v>
      </c>
      <c r="N134" s="15" t="n">
        <v>0</v>
      </c>
      <c r="O134" s="15" t="n">
        <v>0</v>
      </c>
      <c r="P134" s="8" t="n">
        <f aca="false">N134+O134</f>
        <v>0</v>
      </c>
      <c r="Q134" s="9" t="str">
        <f aca="false">IF(P134&lt;0.2,"Fold",IF(AND(N134&gt;=0.2,O134&gt;=0.2),"3bet/call",IF(N134&gt;=O134,"3bet","Call")))</f>
        <v>Fold</v>
      </c>
    </row>
    <row r="135" customFormat="false" ht="15" hidden="false" customHeight="true" outlineLevel="0" collapsed="false">
      <c r="A135" s="5" t="s">
        <v>216</v>
      </c>
      <c r="B135" s="15" t="n">
        <v>0</v>
      </c>
      <c r="C135" s="15" t="n">
        <v>0</v>
      </c>
      <c r="D135" s="8" t="n">
        <f aca="false">B135+C135</f>
        <v>0</v>
      </c>
      <c r="E135" s="9" t="str">
        <f aca="false">IF(D135&lt;0.2,"Fold",IF(AND(B135&gt;=0.2,C135&gt;=0.2),"3bet/call",IF(B135&gt;=C135,"3bet","Call")))</f>
        <v>Fold</v>
      </c>
      <c r="F135" s="15" t="n">
        <v>0</v>
      </c>
      <c r="G135" s="15" t="n">
        <v>0</v>
      </c>
      <c r="H135" s="8" t="n">
        <f aca="false">F135+G135</f>
        <v>0</v>
      </c>
      <c r="I135" s="9" t="str">
        <f aca="false">IF(H135&lt;0.2,"Fold",IF(AND(F135&gt;=0.2,G135&gt;=0.2),"3bet/call",IF(F135&gt;=G135,"3bet","Call")))</f>
        <v>Fold</v>
      </c>
      <c r="J135" s="15" t="n">
        <v>0</v>
      </c>
      <c r="K135" s="15" t="n">
        <v>0</v>
      </c>
      <c r="L135" s="8" t="n">
        <f aca="false">J135+K135</f>
        <v>0</v>
      </c>
      <c r="M135" s="9" t="str">
        <f aca="false">IF(L135&lt;0.2,"Fold",IF(AND(J135&gt;=0.2,K135&gt;=0.2),"3bet/call",IF(J135&gt;=K135,"3bet","Call")))</f>
        <v>Fold</v>
      </c>
      <c r="N135" s="15" t="n">
        <v>0</v>
      </c>
      <c r="O135" s="15" t="n">
        <v>0</v>
      </c>
      <c r="P135" s="8" t="n">
        <f aca="false">N135+O135</f>
        <v>0</v>
      </c>
      <c r="Q135" s="9" t="str">
        <f aca="false">IF(P135&lt;0.2,"Fold",IF(AND(N135&gt;=0.2,O135&gt;=0.2),"3bet/call",IF(N135&gt;=O135,"3bet","Call")))</f>
        <v>Fold</v>
      </c>
    </row>
    <row r="136" customFormat="false" ht="15" hidden="false" customHeight="true" outlineLevel="0" collapsed="false">
      <c r="A136" s="5" t="s">
        <v>217</v>
      </c>
      <c r="B136" s="15" t="n">
        <v>0</v>
      </c>
      <c r="C136" s="15" t="n">
        <v>0</v>
      </c>
      <c r="D136" s="8" t="n">
        <f aca="false">B136+C136</f>
        <v>0</v>
      </c>
      <c r="E136" s="9" t="str">
        <f aca="false">IF(D136&lt;0.2,"Fold",IF(AND(B136&gt;=0.2,C136&gt;=0.2),"3bet/call",IF(B136&gt;=C136,"3bet","Call")))</f>
        <v>Fold</v>
      </c>
      <c r="F136" s="15" t="n">
        <v>0</v>
      </c>
      <c r="G136" s="15" t="n">
        <v>0</v>
      </c>
      <c r="H136" s="8" t="n">
        <f aca="false">F136+G136</f>
        <v>0</v>
      </c>
      <c r="I136" s="9" t="str">
        <f aca="false">IF(H136&lt;0.2,"Fold",IF(AND(F136&gt;=0.2,G136&gt;=0.2),"3bet/call",IF(F136&gt;=G136,"3bet","Call")))</f>
        <v>Fold</v>
      </c>
      <c r="J136" s="15" t="n">
        <v>0</v>
      </c>
      <c r="K136" s="15" t="n">
        <v>0</v>
      </c>
      <c r="L136" s="8" t="n">
        <f aca="false">J136+K136</f>
        <v>0</v>
      </c>
      <c r="M136" s="9" t="str">
        <f aca="false">IF(L136&lt;0.2,"Fold",IF(AND(J136&gt;=0.2,K136&gt;=0.2),"3bet/call",IF(J136&gt;=K136,"3bet","Call")))</f>
        <v>Fold</v>
      </c>
      <c r="N136" s="15" t="n">
        <v>0</v>
      </c>
      <c r="O136" s="15" t="n">
        <v>0</v>
      </c>
      <c r="P136" s="8" t="n">
        <f aca="false">N136+O136</f>
        <v>0</v>
      </c>
      <c r="Q136" s="9" t="str">
        <f aca="false">IF(P136&lt;0.2,"Fold",IF(AND(N136&gt;=0.2,O136&gt;=0.2),"3bet/call",IF(N136&gt;=O136,"3bet","Call")))</f>
        <v>Fold</v>
      </c>
    </row>
    <row r="137" customFormat="false" ht="15" hidden="false" customHeight="true" outlineLevel="0" collapsed="false">
      <c r="A137" s="5" t="s">
        <v>218</v>
      </c>
      <c r="B137" s="15" t="n">
        <v>0</v>
      </c>
      <c r="C137" s="15" t="n">
        <v>0</v>
      </c>
      <c r="D137" s="8" t="n">
        <f aca="false">B137+C137</f>
        <v>0</v>
      </c>
      <c r="E137" s="9" t="str">
        <f aca="false">IF(D137&lt;0.2,"Fold",IF(AND(B137&gt;=0.2,C137&gt;=0.2),"3bet/call",IF(B137&gt;=C137,"3bet","Call")))</f>
        <v>Fold</v>
      </c>
      <c r="F137" s="15" t="n">
        <v>0</v>
      </c>
      <c r="G137" s="15" t="n">
        <v>0</v>
      </c>
      <c r="H137" s="8" t="n">
        <f aca="false">F137+G137</f>
        <v>0</v>
      </c>
      <c r="I137" s="9" t="str">
        <f aca="false">IF(H137&lt;0.2,"Fold",IF(AND(F137&gt;=0.2,G137&gt;=0.2),"3bet/call",IF(F137&gt;=G137,"3bet","Call")))</f>
        <v>Fold</v>
      </c>
      <c r="J137" s="15" t="n">
        <v>0</v>
      </c>
      <c r="K137" s="15" t="n">
        <v>0</v>
      </c>
      <c r="L137" s="8" t="n">
        <f aca="false">J137+K137</f>
        <v>0</v>
      </c>
      <c r="M137" s="9" t="str">
        <f aca="false">IF(L137&lt;0.2,"Fold",IF(AND(J137&gt;=0.2,K137&gt;=0.2),"3bet/call",IF(J137&gt;=K137,"3bet","Call")))</f>
        <v>Fold</v>
      </c>
      <c r="N137" s="15" t="n">
        <v>0</v>
      </c>
      <c r="O137" s="15" t="n">
        <v>0</v>
      </c>
      <c r="P137" s="8" t="n">
        <f aca="false">N137+O137</f>
        <v>0</v>
      </c>
      <c r="Q137" s="9" t="str">
        <f aca="false">IF(P137&lt;0.2,"Fold",IF(AND(N137&gt;=0.2,O137&gt;=0.2),"3bet/call",IF(N137&gt;=O137,"3bet","Call")))</f>
        <v>Fold</v>
      </c>
    </row>
    <row r="138" customFormat="false" ht="15" hidden="false" customHeight="true" outlineLevel="0" collapsed="false">
      <c r="A138" s="5" t="s">
        <v>219</v>
      </c>
      <c r="B138" s="15" t="n">
        <v>0</v>
      </c>
      <c r="C138" s="15" t="n">
        <v>0</v>
      </c>
      <c r="D138" s="8" t="n">
        <f aca="false">B138+C138</f>
        <v>0</v>
      </c>
      <c r="E138" s="9" t="str">
        <f aca="false">IF(D138&lt;0.2,"Fold",IF(AND(B138&gt;=0.2,C138&gt;=0.2),"3bet/call",IF(B138&gt;=C138,"3bet","Call")))</f>
        <v>Fold</v>
      </c>
      <c r="F138" s="15" t="n">
        <v>0</v>
      </c>
      <c r="G138" s="15" t="n">
        <v>0</v>
      </c>
      <c r="H138" s="8" t="n">
        <f aca="false">F138+G138</f>
        <v>0</v>
      </c>
      <c r="I138" s="9" t="str">
        <f aca="false">IF(H138&lt;0.2,"Fold",IF(AND(F138&gt;=0.2,G138&gt;=0.2),"3bet/call",IF(F138&gt;=G138,"3bet","Call")))</f>
        <v>Fold</v>
      </c>
      <c r="J138" s="15" t="n">
        <v>0</v>
      </c>
      <c r="K138" s="15" t="n">
        <v>0</v>
      </c>
      <c r="L138" s="8" t="n">
        <f aca="false">J138+K138</f>
        <v>0</v>
      </c>
      <c r="M138" s="9" t="str">
        <f aca="false">IF(L138&lt;0.2,"Fold",IF(AND(J138&gt;=0.2,K138&gt;=0.2),"3bet/call",IF(J138&gt;=K138,"3bet","Call")))</f>
        <v>Fold</v>
      </c>
      <c r="N138" s="15" t="n">
        <v>0</v>
      </c>
      <c r="O138" s="15" t="n">
        <v>0</v>
      </c>
      <c r="P138" s="8" t="n">
        <f aca="false">N138+O138</f>
        <v>0</v>
      </c>
      <c r="Q138" s="9" t="str">
        <f aca="false">IF(P138&lt;0.2,"Fold",IF(AND(N138&gt;=0.2,O138&gt;=0.2),"3bet/call",IF(N138&gt;=O138,"3bet","Call")))</f>
        <v>Fold</v>
      </c>
    </row>
    <row r="139" customFormat="false" ht="15" hidden="false" customHeight="true" outlineLevel="0" collapsed="false">
      <c r="A139" s="5" t="s">
        <v>220</v>
      </c>
      <c r="B139" s="15" t="n">
        <v>0</v>
      </c>
      <c r="C139" s="15" t="n">
        <v>0</v>
      </c>
      <c r="D139" s="8" t="n">
        <f aca="false">B139+C139</f>
        <v>0</v>
      </c>
      <c r="E139" s="9" t="str">
        <f aca="false">IF(D139&lt;0.2,"Fold",IF(AND(B139&gt;=0.2,C139&gt;=0.2),"3bet/call",IF(B139&gt;=C139,"3bet","Call")))</f>
        <v>Fold</v>
      </c>
      <c r="F139" s="15" t="n">
        <v>0</v>
      </c>
      <c r="G139" s="15" t="n">
        <v>0</v>
      </c>
      <c r="H139" s="8" t="n">
        <f aca="false">F139+G139</f>
        <v>0</v>
      </c>
      <c r="I139" s="9" t="str">
        <f aca="false">IF(H139&lt;0.2,"Fold",IF(AND(F139&gt;=0.2,G139&gt;=0.2),"3bet/call",IF(F139&gt;=G139,"3bet","Call")))</f>
        <v>Fold</v>
      </c>
      <c r="J139" s="15" t="n">
        <v>0</v>
      </c>
      <c r="K139" s="15" t="n">
        <v>0</v>
      </c>
      <c r="L139" s="8" t="n">
        <f aca="false">J139+K139</f>
        <v>0</v>
      </c>
      <c r="M139" s="9" t="str">
        <f aca="false">IF(L139&lt;0.2,"Fold",IF(AND(J139&gt;=0.2,K139&gt;=0.2),"3bet/call",IF(J139&gt;=K139,"3bet","Call")))</f>
        <v>Fold</v>
      </c>
      <c r="N139" s="15" t="n">
        <v>0</v>
      </c>
      <c r="O139" s="15" t="n">
        <v>0</v>
      </c>
      <c r="P139" s="8" t="n">
        <f aca="false">N139+O139</f>
        <v>0</v>
      </c>
      <c r="Q139" s="9" t="str">
        <f aca="false">IF(P139&lt;0.2,"Fold",IF(AND(N139&gt;=0.2,O139&gt;=0.2),"3bet/call",IF(N139&gt;=O139,"3bet","Call")))</f>
        <v>Fold</v>
      </c>
    </row>
    <row r="140" customFormat="false" ht="15" hidden="false" customHeight="true" outlineLevel="0" collapsed="false">
      <c r="A140" s="5" t="s">
        <v>221</v>
      </c>
      <c r="B140" s="15" t="n">
        <v>0</v>
      </c>
      <c r="C140" s="15" t="n">
        <v>0</v>
      </c>
      <c r="D140" s="8" t="n">
        <f aca="false">B140+C140</f>
        <v>0</v>
      </c>
      <c r="E140" s="9" t="str">
        <f aca="false">IF(D140&lt;0.2,"Fold",IF(AND(B140&gt;=0.2,C140&gt;=0.2),"3bet/call",IF(B140&gt;=C140,"3bet","Call")))</f>
        <v>Fold</v>
      </c>
      <c r="F140" s="15" t="n">
        <v>0</v>
      </c>
      <c r="G140" s="15" t="n">
        <v>0</v>
      </c>
      <c r="H140" s="8" t="n">
        <f aca="false">F140+G140</f>
        <v>0</v>
      </c>
      <c r="I140" s="9" t="str">
        <f aca="false">IF(H140&lt;0.2,"Fold",IF(AND(F140&gt;=0.2,G140&gt;=0.2),"3bet/call",IF(F140&gt;=G140,"3bet","Call")))</f>
        <v>Fold</v>
      </c>
      <c r="J140" s="15" t="n">
        <v>0</v>
      </c>
      <c r="K140" s="15" t="n">
        <v>0</v>
      </c>
      <c r="L140" s="8" t="n">
        <f aca="false">J140+K140</f>
        <v>0</v>
      </c>
      <c r="M140" s="9" t="str">
        <f aca="false">IF(L140&lt;0.2,"Fold",IF(AND(J140&gt;=0.2,K140&gt;=0.2),"3bet/call",IF(J140&gt;=K140,"3bet","Call")))</f>
        <v>Fold</v>
      </c>
      <c r="N140" s="15" t="n">
        <v>0</v>
      </c>
      <c r="O140" s="15" t="n">
        <v>0</v>
      </c>
      <c r="P140" s="8" t="n">
        <f aca="false">N140+O140</f>
        <v>0</v>
      </c>
      <c r="Q140" s="9" t="str">
        <f aca="false">IF(P140&lt;0.2,"Fold",IF(AND(N140&gt;=0.2,O140&gt;=0.2),"3bet/call",IF(N140&gt;=O140,"3bet","Call")))</f>
        <v>Fold</v>
      </c>
    </row>
    <row r="141" customFormat="false" ht="15" hidden="false" customHeight="true" outlineLevel="0" collapsed="false">
      <c r="A141" s="5" t="s">
        <v>222</v>
      </c>
      <c r="B141" s="15" t="n">
        <v>0</v>
      </c>
      <c r="C141" s="15" t="n">
        <v>0</v>
      </c>
      <c r="D141" s="8" t="n">
        <f aca="false">B141+C141</f>
        <v>0</v>
      </c>
      <c r="E141" s="9" t="str">
        <f aca="false">IF(D141&lt;0.2,"Fold",IF(AND(B141&gt;=0.2,C141&gt;=0.2),"3bet/call",IF(B141&gt;=C141,"3bet","Call")))</f>
        <v>Fold</v>
      </c>
      <c r="F141" s="15" t="n">
        <v>0</v>
      </c>
      <c r="G141" s="15" t="n">
        <v>0</v>
      </c>
      <c r="H141" s="8" t="n">
        <f aca="false">F141+G141</f>
        <v>0</v>
      </c>
      <c r="I141" s="9" t="str">
        <f aca="false">IF(H141&lt;0.2,"Fold",IF(AND(F141&gt;=0.2,G141&gt;=0.2),"3bet/call",IF(F141&gt;=G141,"3bet","Call")))</f>
        <v>Fold</v>
      </c>
      <c r="J141" s="15" t="n">
        <v>0</v>
      </c>
      <c r="K141" s="15" t="n">
        <v>0</v>
      </c>
      <c r="L141" s="8" t="n">
        <f aca="false">J141+K141</f>
        <v>0</v>
      </c>
      <c r="M141" s="9" t="str">
        <f aca="false">IF(L141&lt;0.2,"Fold",IF(AND(J141&gt;=0.2,K141&gt;=0.2),"3bet/call",IF(J141&gt;=K141,"3bet","Call")))</f>
        <v>Fold</v>
      </c>
      <c r="N141" s="15" t="n">
        <v>0</v>
      </c>
      <c r="O141" s="15" t="n">
        <v>0</v>
      </c>
      <c r="P141" s="8" t="n">
        <f aca="false">N141+O141</f>
        <v>0</v>
      </c>
      <c r="Q141" s="9" t="str">
        <f aca="false">IF(P141&lt;0.2,"Fold",IF(AND(N141&gt;=0.2,O141&gt;=0.2),"3bet/call",IF(N141&gt;=O141,"3bet","Call")))</f>
        <v>Fold</v>
      </c>
    </row>
    <row r="142" customFormat="false" ht="15" hidden="false" customHeight="true" outlineLevel="0" collapsed="false">
      <c r="A142" s="5" t="s">
        <v>223</v>
      </c>
      <c r="B142" s="15" t="n">
        <v>0</v>
      </c>
      <c r="C142" s="15" t="n">
        <v>0</v>
      </c>
      <c r="D142" s="8" t="n">
        <f aca="false">B142+C142</f>
        <v>0</v>
      </c>
      <c r="E142" s="9" t="str">
        <f aca="false">IF(D142&lt;0.2,"Fold",IF(AND(B142&gt;=0.2,C142&gt;=0.2),"3bet/call",IF(B142&gt;=C142,"3bet","Call")))</f>
        <v>Fold</v>
      </c>
      <c r="F142" s="15" t="n">
        <v>0</v>
      </c>
      <c r="G142" s="15" t="n">
        <v>0</v>
      </c>
      <c r="H142" s="8" t="n">
        <f aca="false">F142+G142</f>
        <v>0</v>
      </c>
      <c r="I142" s="9" t="str">
        <f aca="false">IF(H142&lt;0.2,"Fold",IF(AND(F142&gt;=0.2,G142&gt;=0.2),"3bet/call",IF(F142&gt;=G142,"3bet","Call")))</f>
        <v>Fold</v>
      </c>
      <c r="J142" s="15" t="n">
        <v>0</v>
      </c>
      <c r="K142" s="15" t="n">
        <v>0</v>
      </c>
      <c r="L142" s="8" t="n">
        <f aca="false">J142+K142</f>
        <v>0</v>
      </c>
      <c r="M142" s="9" t="str">
        <f aca="false">IF(L142&lt;0.2,"Fold",IF(AND(J142&gt;=0.2,K142&gt;=0.2),"3bet/call",IF(J142&gt;=K142,"3bet","Call")))</f>
        <v>Fold</v>
      </c>
      <c r="N142" s="15" t="n">
        <v>0</v>
      </c>
      <c r="O142" s="15" t="n">
        <v>0</v>
      </c>
      <c r="P142" s="8" t="n">
        <f aca="false">N142+O142</f>
        <v>0</v>
      </c>
      <c r="Q142" s="9" t="str">
        <f aca="false">IF(P142&lt;0.2,"Fold",IF(AND(N142&gt;=0.2,O142&gt;=0.2),"3bet/call",IF(N142&gt;=O142,"3bet","Call")))</f>
        <v>Fold</v>
      </c>
    </row>
    <row r="143" customFormat="false" ht="15" hidden="false" customHeight="true" outlineLevel="0" collapsed="false">
      <c r="A143" s="5" t="s">
        <v>224</v>
      </c>
      <c r="B143" s="15" t="n">
        <v>0</v>
      </c>
      <c r="C143" s="15" t="n">
        <v>0</v>
      </c>
      <c r="D143" s="8" t="n">
        <f aca="false">B143+C143</f>
        <v>0</v>
      </c>
      <c r="E143" s="9" t="str">
        <f aca="false">IF(D143&lt;0.2,"Fold",IF(AND(B143&gt;=0.2,C143&gt;=0.2),"3bet/call",IF(B143&gt;=C143,"3bet","Call")))</f>
        <v>Fold</v>
      </c>
      <c r="F143" s="15" t="n">
        <v>0</v>
      </c>
      <c r="G143" s="15" t="n">
        <v>0</v>
      </c>
      <c r="H143" s="8" t="n">
        <f aca="false">F143+G143</f>
        <v>0</v>
      </c>
      <c r="I143" s="9" t="str">
        <f aca="false">IF(H143&lt;0.2,"Fold",IF(AND(F143&gt;=0.2,G143&gt;=0.2),"3bet/call",IF(F143&gt;=G143,"3bet","Call")))</f>
        <v>Fold</v>
      </c>
      <c r="J143" s="15" t="n">
        <v>0</v>
      </c>
      <c r="K143" s="15" t="n">
        <v>0</v>
      </c>
      <c r="L143" s="8" t="n">
        <f aca="false">J143+K143</f>
        <v>0</v>
      </c>
      <c r="M143" s="9" t="str">
        <f aca="false">IF(L143&lt;0.2,"Fold",IF(AND(J143&gt;=0.2,K143&gt;=0.2),"3bet/call",IF(J143&gt;=K143,"3bet","Call")))</f>
        <v>Fold</v>
      </c>
      <c r="N143" s="15" t="n">
        <v>0</v>
      </c>
      <c r="O143" s="15" t="n">
        <v>0</v>
      </c>
      <c r="P143" s="8" t="n">
        <f aca="false">N143+O143</f>
        <v>0</v>
      </c>
      <c r="Q143" s="9" t="str">
        <f aca="false">IF(P143&lt;0.2,"Fold",IF(AND(N143&gt;=0.2,O143&gt;=0.2),"3bet/call",IF(N143&gt;=O143,"3bet","Call")))</f>
        <v>Fold</v>
      </c>
    </row>
    <row r="144" customFormat="false" ht="15" hidden="false" customHeight="true" outlineLevel="0" collapsed="false">
      <c r="A144" s="5" t="s">
        <v>225</v>
      </c>
      <c r="B144" s="15" t="n">
        <v>0</v>
      </c>
      <c r="C144" s="15" t="n">
        <v>0</v>
      </c>
      <c r="D144" s="8" t="n">
        <f aca="false">B144+C144</f>
        <v>0</v>
      </c>
      <c r="E144" s="9" t="str">
        <f aca="false">IF(D144&lt;0.2,"Fold",IF(AND(B144&gt;=0.2,C144&gt;=0.2),"3bet/call",IF(B144&gt;=C144,"3bet","Call")))</f>
        <v>Fold</v>
      </c>
      <c r="F144" s="15" t="n">
        <v>0</v>
      </c>
      <c r="G144" s="15" t="n">
        <v>0</v>
      </c>
      <c r="H144" s="8" t="n">
        <f aca="false">F144+G144</f>
        <v>0</v>
      </c>
      <c r="I144" s="9" t="str">
        <f aca="false">IF(H144&lt;0.2,"Fold",IF(AND(F144&gt;=0.2,G144&gt;=0.2),"3bet/call",IF(F144&gt;=G144,"3bet","Call")))</f>
        <v>Fold</v>
      </c>
      <c r="J144" s="15" t="n">
        <v>0</v>
      </c>
      <c r="K144" s="15" t="n">
        <v>0</v>
      </c>
      <c r="L144" s="8" t="n">
        <f aca="false">J144+K144</f>
        <v>0</v>
      </c>
      <c r="M144" s="9" t="str">
        <f aca="false">IF(L144&lt;0.2,"Fold",IF(AND(J144&gt;=0.2,K144&gt;=0.2),"3bet/call",IF(J144&gt;=K144,"3bet","Call")))</f>
        <v>Fold</v>
      </c>
      <c r="N144" s="15" t="n">
        <v>0</v>
      </c>
      <c r="O144" s="15" t="n">
        <v>0</v>
      </c>
      <c r="P144" s="8" t="n">
        <f aca="false">N144+O144</f>
        <v>0</v>
      </c>
      <c r="Q144" s="9" t="str">
        <f aca="false">IF(P144&lt;0.2,"Fold",IF(AND(N144&gt;=0.2,O144&gt;=0.2),"3bet/call",IF(N144&gt;=O144,"3bet","Call")))</f>
        <v>Fold</v>
      </c>
    </row>
    <row r="145" customFormat="false" ht="15" hidden="false" customHeight="true" outlineLevel="0" collapsed="false">
      <c r="A145" s="5" t="s">
        <v>226</v>
      </c>
      <c r="B145" s="15" t="n">
        <v>0</v>
      </c>
      <c r="C145" s="15" t="n">
        <v>0.2</v>
      </c>
      <c r="D145" s="8" t="n">
        <f aca="false">B145+C145</f>
        <v>0.2</v>
      </c>
      <c r="E145" s="9" t="str">
        <f aca="false">IF(D145&lt;0.2,"Fold",IF(AND(B145&gt;=0.2,C145&gt;=0.2),"3bet/call",IF(B145&gt;=C145,"3bet","Call")))</f>
        <v>Call</v>
      </c>
      <c r="F145" s="15" t="n">
        <v>0</v>
      </c>
      <c r="G145" s="15" t="n">
        <v>0.4</v>
      </c>
      <c r="H145" s="8" t="n">
        <f aca="false">F145+G145</f>
        <v>0.4</v>
      </c>
      <c r="I145" s="9" t="str">
        <f aca="false">IF(H145&lt;0.2,"Fold",IF(AND(F145&gt;=0.2,G145&gt;=0.2),"3bet/call",IF(F145&gt;=G145,"3bet","Call")))</f>
        <v>Call</v>
      </c>
      <c r="J145" s="15" t="n">
        <v>0</v>
      </c>
      <c r="K145" s="15" t="n">
        <v>1</v>
      </c>
      <c r="L145" s="8" t="n">
        <f aca="false">J145+K145</f>
        <v>1</v>
      </c>
      <c r="M145" s="9" t="str">
        <f aca="false">IF(L145&lt;0.2,"Fold",IF(AND(J145&gt;=0.2,K145&gt;=0.2),"3bet/call",IF(J145&gt;=K145,"3bet","Call")))</f>
        <v>Call</v>
      </c>
      <c r="N145" s="15" t="n">
        <v>0.45</v>
      </c>
      <c r="O145" s="15" t="n">
        <v>0.55</v>
      </c>
      <c r="P145" s="8" t="n">
        <f aca="false">N145+O145</f>
        <v>1</v>
      </c>
      <c r="Q145" s="9" t="str">
        <f aca="false">IF(P145&lt;0.2,"Fold",IF(AND(N145&gt;=0.2,O145&gt;=0.2),"3bet/call",IF(N145&gt;=O145,"3bet","Call")))</f>
        <v>3bet/call</v>
      </c>
    </row>
    <row r="146" customFormat="false" ht="15" hidden="false" customHeight="true" outlineLevel="0" collapsed="false">
      <c r="A146" s="5" t="s">
        <v>227</v>
      </c>
      <c r="B146" s="15" t="n">
        <v>0</v>
      </c>
      <c r="C146" s="15" t="n">
        <v>0</v>
      </c>
      <c r="D146" s="8" t="n">
        <f aca="false">B146+C146</f>
        <v>0</v>
      </c>
      <c r="E146" s="9" t="str">
        <f aca="false">IF(D146&lt;0.2,"Fold",IF(AND(B146&gt;=0.2,C146&gt;=0.2),"3bet/call",IF(B146&gt;=C146,"3bet","Call")))</f>
        <v>Fold</v>
      </c>
      <c r="F146" s="15" t="n">
        <v>0</v>
      </c>
      <c r="G146" s="15" t="n">
        <v>0</v>
      </c>
      <c r="H146" s="8" t="n">
        <f aca="false">F146+G146</f>
        <v>0</v>
      </c>
      <c r="I146" s="9" t="str">
        <f aca="false">IF(H146&lt;0.2,"Fold",IF(AND(F146&gt;=0.2,G146&gt;=0.2),"3bet/call",IF(F146&gt;=G146,"3bet","Call")))</f>
        <v>Fold</v>
      </c>
      <c r="J146" s="15" t="n">
        <v>0</v>
      </c>
      <c r="K146" s="15" t="n">
        <v>0</v>
      </c>
      <c r="L146" s="8" t="n">
        <f aca="false">J146+K146</f>
        <v>0</v>
      </c>
      <c r="M146" s="9" t="str">
        <f aca="false">IF(L146&lt;0.2,"Fold",IF(AND(J146&gt;=0.2,K146&gt;=0.2),"3bet/call",IF(J146&gt;=K146,"3bet","Call")))</f>
        <v>Fold</v>
      </c>
      <c r="N146" s="15" t="n">
        <v>0</v>
      </c>
      <c r="O146" s="15" t="n">
        <v>0</v>
      </c>
      <c r="P146" s="8" t="n">
        <f aca="false">N146+O146</f>
        <v>0</v>
      </c>
      <c r="Q146" s="9" t="str">
        <f aca="false">IF(P146&lt;0.2,"Fold",IF(AND(N146&gt;=0.2,O146&gt;=0.2),"3bet/call",IF(N146&gt;=O146,"3bet","Call")))</f>
        <v>Fold</v>
      </c>
    </row>
    <row r="147" customFormat="false" ht="15" hidden="false" customHeight="true" outlineLevel="0" collapsed="false">
      <c r="A147" s="5" t="s">
        <v>228</v>
      </c>
      <c r="B147" s="15" t="n">
        <v>0</v>
      </c>
      <c r="C147" s="15" t="n">
        <v>0</v>
      </c>
      <c r="D147" s="8" t="n">
        <f aca="false">B147+C147</f>
        <v>0</v>
      </c>
      <c r="E147" s="9" t="str">
        <f aca="false">IF(D147&lt;0.2,"Fold",IF(AND(B147&gt;=0.2,C147&gt;=0.2),"3bet/call",IF(B147&gt;=C147,"3bet","Call")))</f>
        <v>Fold</v>
      </c>
      <c r="F147" s="15" t="n">
        <v>0</v>
      </c>
      <c r="G147" s="15" t="n">
        <v>0</v>
      </c>
      <c r="H147" s="8" t="n">
        <f aca="false">F147+G147</f>
        <v>0</v>
      </c>
      <c r="I147" s="9" t="str">
        <f aca="false">IF(H147&lt;0.2,"Fold",IF(AND(F147&gt;=0.2,G147&gt;=0.2),"3bet/call",IF(F147&gt;=G147,"3bet","Call")))</f>
        <v>Fold</v>
      </c>
      <c r="J147" s="15" t="n">
        <v>0</v>
      </c>
      <c r="K147" s="15" t="n">
        <v>0</v>
      </c>
      <c r="L147" s="8" t="n">
        <f aca="false">J147+K147</f>
        <v>0</v>
      </c>
      <c r="M147" s="9" t="str">
        <f aca="false">IF(L147&lt;0.2,"Fold",IF(AND(J147&gt;=0.2,K147&gt;=0.2),"3bet/call",IF(J147&gt;=K147,"3bet","Call")))</f>
        <v>Fold</v>
      </c>
      <c r="N147" s="15" t="n">
        <v>0</v>
      </c>
      <c r="O147" s="15" t="n">
        <v>0</v>
      </c>
      <c r="P147" s="8" t="n">
        <f aca="false">N147+O147</f>
        <v>0</v>
      </c>
      <c r="Q147" s="9" t="str">
        <f aca="false">IF(P147&lt;0.2,"Fold",IF(AND(N147&gt;=0.2,O147&gt;=0.2),"3bet/call",IF(N147&gt;=O147,"3bet","Call")))</f>
        <v>Fold</v>
      </c>
    </row>
    <row r="148" customFormat="false" ht="15" hidden="false" customHeight="true" outlineLevel="0" collapsed="false">
      <c r="A148" s="5" t="s">
        <v>229</v>
      </c>
      <c r="B148" s="15" t="n">
        <v>0</v>
      </c>
      <c r="C148" s="15" t="n">
        <v>0</v>
      </c>
      <c r="D148" s="8" t="n">
        <f aca="false">B148+C148</f>
        <v>0</v>
      </c>
      <c r="E148" s="9" t="str">
        <f aca="false">IF(D148&lt;0.2,"Fold",IF(AND(B148&gt;=0.2,C148&gt;=0.2),"3bet/call",IF(B148&gt;=C148,"3bet","Call")))</f>
        <v>Fold</v>
      </c>
      <c r="F148" s="15" t="n">
        <v>0</v>
      </c>
      <c r="G148" s="15" t="n">
        <v>0</v>
      </c>
      <c r="H148" s="8" t="n">
        <f aca="false">F148+G148</f>
        <v>0</v>
      </c>
      <c r="I148" s="9" t="str">
        <f aca="false">IF(H148&lt;0.2,"Fold",IF(AND(F148&gt;=0.2,G148&gt;=0.2),"3bet/call",IF(F148&gt;=G148,"3bet","Call")))</f>
        <v>Fold</v>
      </c>
      <c r="J148" s="15" t="n">
        <v>0</v>
      </c>
      <c r="K148" s="15" t="n">
        <v>0</v>
      </c>
      <c r="L148" s="8" t="n">
        <f aca="false">J148+K148</f>
        <v>0</v>
      </c>
      <c r="M148" s="9" t="str">
        <f aca="false">IF(L148&lt;0.2,"Fold",IF(AND(J148&gt;=0.2,K148&gt;=0.2),"3bet/call",IF(J148&gt;=K148,"3bet","Call")))</f>
        <v>Fold</v>
      </c>
      <c r="N148" s="15" t="n">
        <v>0</v>
      </c>
      <c r="O148" s="15" t="n">
        <v>0</v>
      </c>
      <c r="P148" s="8" t="n">
        <f aca="false">N148+O148</f>
        <v>0</v>
      </c>
      <c r="Q148" s="9" t="str">
        <f aca="false">IF(P148&lt;0.2,"Fold",IF(AND(N148&gt;=0.2,O148&gt;=0.2),"3bet/call",IF(N148&gt;=O148,"3bet","Call")))</f>
        <v>Fold</v>
      </c>
    </row>
    <row r="149" customFormat="false" ht="15" hidden="false" customHeight="true" outlineLevel="0" collapsed="false">
      <c r="A149" s="5" t="s">
        <v>230</v>
      </c>
      <c r="B149" s="15" t="n">
        <v>0</v>
      </c>
      <c r="C149" s="15" t="n">
        <v>0</v>
      </c>
      <c r="D149" s="8" t="n">
        <f aca="false">B149+C149</f>
        <v>0</v>
      </c>
      <c r="E149" s="9" t="str">
        <f aca="false">IF(D149&lt;0.2,"Fold",IF(AND(B149&gt;=0.2,C149&gt;=0.2),"3bet/call",IF(B149&gt;=C149,"3bet","Call")))</f>
        <v>Fold</v>
      </c>
      <c r="F149" s="15" t="n">
        <v>0</v>
      </c>
      <c r="G149" s="15" t="n">
        <v>0</v>
      </c>
      <c r="H149" s="8" t="n">
        <f aca="false">F149+G149</f>
        <v>0</v>
      </c>
      <c r="I149" s="9" t="str">
        <f aca="false">IF(H149&lt;0.2,"Fold",IF(AND(F149&gt;=0.2,G149&gt;=0.2),"3bet/call",IF(F149&gt;=G149,"3bet","Call")))</f>
        <v>Fold</v>
      </c>
      <c r="J149" s="15" t="n">
        <v>0</v>
      </c>
      <c r="K149" s="15" t="n">
        <v>0</v>
      </c>
      <c r="L149" s="8" t="n">
        <f aca="false">J149+K149</f>
        <v>0</v>
      </c>
      <c r="M149" s="9" t="str">
        <f aca="false">IF(L149&lt;0.2,"Fold",IF(AND(J149&gt;=0.2,K149&gt;=0.2),"3bet/call",IF(J149&gt;=K149,"3bet","Call")))</f>
        <v>Fold</v>
      </c>
      <c r="N149" s="15" t="n">
        <v>0</v>
      </c>
      <c r="O149" s="15" t="n">
        <v>0</v>
      </c>
      <c r="P149" s="8" t="n">
        <f aca="false">N149+O149</f>
        <v>0</v>
      </c>
      <c r="Q149" s="9" t="str">
        <f aca="false">IF(P149&lt;0.2,"Fold",IF(AND(N149&gt;=0.2,O149&gt;=0.2),"3bet/call",IF(N149&gt;=O149,"3bet","Call")))</f>
        <v>Fold</v>
      </c>
    </row>
    <row r="150" customFormat="false" ht="15" hidden="false" customHeight="true" outlineLevel="0" collapsed="false">
      <c r="A150" s="5" t="s">
        <v>231</v>
      </c>
      <c r="B150" s="15" t="n">
        <v>0</v>
      </c>
      <c r="C150" s="15" t="n">
        <v>0</v>
      </c>
      <c r="D150" s="8" t="n">
        <f aca="false">B150+C150</f>
        <v>0</v>
      </c>
      <c r="E150" s="9" t="str">
        <f aca="false">IF(D150&lt;0.2,"Fold",IF(AND(B150&gt;=0.2,C150&gt;=0.2),"3bet/call",IF(B150&gt;=C150,"3bet","Call")))</f>
        <v>Fold</v>
      </c>
      <c r="F150" s="15" t="n">
        <v>0</v>
      </c>
      <c r="G150" s="15" t="n">
        <v>0</v>
      </c>
      <c r="H150" s="8" t="n">
        <f aca="false">F150+G150</f>
        <v>0</v>
      </c>
      <c r="I150" s="9" t="str">
        <f aca="false">IF(H150&lt;0.2,"Fold",IF(AND(F150&gt;=0.2,G150&gt;=0.2),"3bet/call",IF(F150&gt;=G150,"3bet","Call")))</f>
        <v>Fold</v>
      </c>
      <c r="J150" s="15" t="n">
        <v>0</v>
      </c>
      <c r="K150" s="15" t="n">
        <v>0</v>
      </c>
      <c r="L150" s="8" t="n">
        <f aca="false">J150+K150</f>
        <v>0</v>
      </c>
      <c r="M150" s="9" t="str">
        <f aca="false">IF(L150&lt;0.2,"Fold",IF(AND(J150&gt;=0.2,K150&gt;=0.2),"3bet/call",IF(J150&gt;=K150,"3bet","Call")))</f>
        <v>Fold</v>
      </c>
      <c r="N150" s="15" t="n">
        <v>0</v>
      </c>
      <c r="O150" s="15" t="n">
        <v>0</v>
      </c>
      <c r="P150" s="8" t="n">
        <f aca="false">N150+O150</f>
        <v>0</v>
      </c>
      <c r="Q150" s="9" t="str">
        <f aca="false">IF(P150&lt;0.2,"Fold",IF(AND(N150&gt;=0.2,O150&gt;=0.2),"3bet/call",IF(N150&gt;=O150,"3bet","Call")))</f>
        <v>Fold</v>
      </c>
    </row>
    <row r="151" customFormat="false" ht="15" hidden="false" customHeight="true" outlineLevel="0" collapsed="false">
      <c r="A151" s="5" t="s">
        <v>232</v>
      </c>
      <c r="B151" s="15" t="n">
        <v>0</v>
      </c>
      <c r="C151" s="15" t="n">
        <v>0</v>
      </c>
      <c r="D151" s="8" t="n">
        <f aca="false">B151+C151</f>
        <v>0</v>
      </c>
      <c r="E151" s="9" t="str">
        <f aca="false">IF(D151&lt;0.2,"Fold",IF(AND(B151&gt;=0.2,C151&gt;=0.2),"3bet/call",IF(B151&gt;=C151,"3bet","Call")))</f>
        <v>Fold</v>
      </c>
      <c r="F151" s="15" t="n">
        <v>0</v>
      </c>
      <c r="G151" s="15" t="n">
        <v>0</v>
      </c>
      <c r="H151" s="8" t="n">
        <f aca="false">F151+G151</f>
        <v>0</v>
      </c>
      <c r="I151" s="9" t="str">
        <f aca="false">IF(H151&lt;0.2,"Fold",IF(AND(F151&gt;=0.2,G151&gt;=0.2),"3bet/call",IF(F151&gt;=G151,"3bet","Call")))</f>
        <v>Fold</v>
      </c>
      <c r="J151" s="15" t="n">
        <v>0</v>
      </c>
      <c r="K151" s="15" t="n">
        <v>0</v>
      </c>
      <c r="L151" s="8" t="n">
        <f aca="false">J151+K151</f>
        <v>0</v>
      </c>
      <c r="M151" s="9" t="str">
        <f aca="false">IF(L151&lt;0.2,"Fold",IF(AND(J151&gt;=0.2,K151&gt;=0.2),"3bet/call",IF(J151&gt;=K151,"3bet","Call")))</f>
        <v>Fold</v>
      </c>
      <c r="N151" s="15" t="n">
        <v>0</v>
      </c>
      <c r="O151" s="15" t="n">
        <v>0</v>
      </c>
      <c r="P151" s="8" t="n">
        <f aca="false">N151+O151</f>
        <v>0</v>
      </c>
      <c r="Q151" s="9" t="str">
        <f aca="false">IF(P151&lt;0.2,"Fold",IF(AND(N151&gt;=0.2,O151&gt;=0.2),"3bet/call",IF(N151&gt;=O151,"3bet","Call")))</f>
        <v>Fold</v>
      </c>
    </row>
    <row r="152" customFormat="false" ht="15" hidden="false" customHeight="true" outlineLevel="0" collapsed="false">
      <c r="A152" s="5" t="s">
        <v>233</v>
      </c>
      <c r="B152" s="15" t="n">
        <v>0</v>
      </c>
      <c r="C152" s="15" t="n">
        <v>0</v>
      </c>
      <c r="D152" s="8" t="n">
        <f aca="false">B152+C152</f>
        <v>0</v>
      </c>
      <c r="E152" s="9" t="str">
        <f aca="false">IF(D152&lt;0.2,"Fold",IF(AND(B152&gt;=0.2,C152&gt;=0.2),"3bet/call",IF(B152&gt;=C152,"3bet","Call")))</f>
        <v>Fold</v>
      </c>
      <c r="F152" s="15" t="n">
        <v>0</v>
      </c>
      <c r="G152" s="15" t="n">
        <v>0</v>
      </c>
      <c r="H152" s="8" t="n">
        <f aca="false">F152+G152</f>
        <v>0</v>
      </c>
      <c r="I152" s="9" t="str">
        <f aca="false">IF(H152&lt;0.2,"Fold",IF(AND(F152&gt;=0.2,G152&gt;=0.2),"3bet/call",IF(F152&gt;=G152,"3bet","Call")))</f>
        <v>Fold</v>
      </c>
      <c r="J152" s="15" t="n">
        <v>0</v>
      </c>
      <c r="K152" s="15" t="n">
        <v>0</v>
      </c>
      <c r="L152" s="8" t="n">
        <f aca="false">J152+K152</f>
        <v>0</v>
      </c>
      <c r="M152" s="9" t="str">
        <f aca="false">IF(L152&lt;0.2,"Fold",IF(AND(J152&gt;=0.2,K152&gt;=0.2),"3bet/call",IF(J152&gt;=K152,"3bet","Call")))</f>
        <v>Fold</v>
      </c>
      <c r="N152" s="15" t="n">
        <v>0</v>
      </c>
      <c r="O152" s="15" t="n">
        <v>0</v>
      </c>
      <c r="P152" s="8" t="n">
        <f aca="false">N152+O152</f>
        <v>0</v>
      </c>
      <c r="Q152" s="9" t="str">
        <f aca="false">IF(P152&lt;0.2,"Fold",IF(AND(N152&gt;=0.2,O152&gt;=0.2),"3bet/call",IF(N152&gt;=O152,"3bet","Call")))</f>
        <v>Fold</v>
      </c>
    </row>
    <row r="153" customFormat="false" ht="15" hidden="false" customHeight="true" outlineLevel="0" collapsed="false">
      <c r="A153" s="5" t="s">
        <v>234</v>
      </c>
      <c r="B153" s="15" t="n">
        <v>0</v>
      </c>
      <c r="C153" s="15" t="n">
        <v>0</v>
      </c>
      <c r="D153" s="8" t="n">
        <f aca="false">B153+C153</f>
        <v>0</v>
      </c>
      <c r="E153" s="9" t="str">
        <f aca="false">IF(D153&lt;0.2,"Fold",IF(AND(B153&gt;=0.2,C153&gt;=0.2),"3bet/call",IF(B153&gt;=C153,"3bet","Call")))</f>
        <v>Fold</v>
      </c>
      <c r="F153" s="15" t="n">
        <v>0</v>
      </c>
      <c r="G153" s="15" t="n">
        <v>0</v>
      </c>
      <c r="H153" s="8" t="n">
        <f aca="false">F153+G153</f>
        <v>0</v>
      </c>
      <c r="I153" s="9" t="str">
        <f aca="false">IF(H153&lt;0.2,"Fold",IF(AND(F153&gt;=0.2,G153&gt;=0.2),"3bet/call",IF(F153&gt;=G153,"3bet","Call")))</f>
        <v>Fold</v>
      </c>
      <c r="J153" s="15" t="n">
        <v>0</v>
      </c>
      <c r="K153" s="15" t="n">
        <v>0</v>
      </c>
      <c r="L153" s="8" t="n">
        <f aca="false">J153+K153</f>
        <v>0</v>
      </c>
      <c r="M153" s="9" t="str">
        <f aca="false">IF(L153&lt;0.2,"Fold",IF(AND(J153&gt;=0.2,K153&gt;=0.2),"3bet/call",IF(J153&gt;=K153,"3bet","Call")))</f>
        <v>Fold</v>
      </c>
      <c r="N153" s="15" t="n">
        <v>0</v>
      </c>
      <c r="O153" s="15" t="n">
        <v>0</v>
      </c>
      <c r="P153" s="8" t="n">
        <f aca="false">N153+O153</f>
        <v>0</v>
      </c>
      <c r="Q153" s="9" t="str">
        <f aca="false">IF(P153&lt;0.2,"Fold",IF(AND(N153&gt;=0.2,O153&gt;=0.2),"3bet/call",IF(N153&gt;=O153,"3bet","Call")))</f>
        <v>Fold</v>
      </c>
    </row>
    <row r="154" customFormat="false" ht="15" hidden="false" customHeight="true" outlineLevel="0" collapsed="false">
      <c r="A154" s="5" t="s">
        <v>235</v>
      </c>
      <c r="B154" s="15" t="n">
        <v>0</v>
      </c>
      <c r="C154" s="15" t="n">
        <v>0</v>
      </c>
      <c r="D154" s="8" t="n">
        <f aca="false">B154+C154</f>
        <v>0</v>
      </c>
      <c r="E154" s="9" t="str">
        <f aca="false">IF(D154&lt;0.2,"Fold",IF(AND(B154&gt;=0.2,C154&gt;=0.2),"3bet/call",IF(B154&gt;=C154,"3bet","Call")))</f>
        <v>Fold</v>
      </c>
      <c r="F154" s="15" t="n">
        <v>0</v>
      </c>
      <c r="G154" s="15" t="n">
        <v>0</v>
      </c>
      <c r="H154" s="8" t="n">
        <f aca="false">F154+G154</f>
        <v>0</v>
      </c>
      <c r="I154" s="9" t="str">
        <f aca="false">IF(H154&lt;0.2,"Fold",IF(AND(F154&gt;=0.2,G154&gt;=0.2),"3bet/call",IF(F154&gt;=G154,"3bet","Call")))</f>
        <v>Fold</v>
      </c>
      <c r="J154" s="15" t="n">
        <v>0</v>
      </c>
      <c r="K154" s="15" t="n">
        <v>0</v>
      </c>
      <c r="L154" s="8" t="n">
        <f aca="false">J154+K154</f>
        <v>0</v>
      </c>
      <c r="M154" s="9" t="str">
        <f aca="false">IF(L154&lt;0.2,"Fold",IF(AND(J154&gt;=0.2,K154&gt;=0.2),"3bet/call",IF(J154&gt;=K154,"3bet","Call")))</f>
        <v>Fold</v>
      </c>
      <c r="N154" s="15" t="n">
        <v>0</v>
      </c>
      <c r="O154" s="15" t="n">
        <v>0</v>
      </c>
      <c r="P154" s="8" t="n">
        <f aca="false">N154+O154</f>
        <v>0</v>
      </c>
      <c r="Q154" s="9" t="str">
        <f aca="false">IF(P154&lt;0.2,"Fold",IF(AND(N154&gt;=0.2,O154&gt;=0.2),"3bet/call",IF(N154&gt;=O154,"3bet","Call")))</f>
        <v>Fold</v>
      </c>
    </row>
    <row r="155" customFormat="false" ht="15" hidden="false" customHeight="true" outlineLevel="0" collapsed="false">
      <c r="A155" s="5" t="s">
        <v>236</v>
      </c>
      <c r="B155" s="15" t="n">
        <v>0</v>
      </c>
      <c r="C155" s="15" t="n">
        <v>0</v>
      </c>
      <c r="D155" s="8" t="n">
        <f aca="false">B155+C155</f>
        <v>0</v>
      </c>
      <c r="E155" s="9" t="str">
        <f aca="false">IF(D155&lt;0.2,"Fold",IF(AND(B155&gt;=0.2,C155&gt;=0.2),"3bet/call",IF(B155&gt;=C155,"3bet","Call")))</f>
        <v>Fold</v>
      </c>
      <c r="F155" s="15" t="n">
        <v>0</v>
      </c>
      <c r="G155" s="15" t="n">
        <v>0</v>
      </c>
      <c r="H155" s="8" t="n">
        <f aca="false">F155+G155</f>
        <v>0</v>
      </c>
      <c r="I155" s="9" t="str">
        <f aca="false">IF(H155&lt;0.2,"Fold",IF(AND(F155&gt;=0.2,G155&gt;=0.2),"3bet/call",IF(F155&gt;=G155,"3bet","Call")))</f>
        <v>Fold</v>
      </c>
      <c r="J155" s="15" t="n">
        <v>0</v>
      </c>
      <c r="K155" s="15" t="n">
        <v>0</v>
      </c>
      <c r="L155" s="8" t="n">
        <f aca="false">J155+K155</f>
        <v>0</v>
      </c>
      <c r="M155" s="9" t="str">
        <f aca="false">IF(L155&lt;0.2,"Fold",IF(AND(J155&gt;=0.2,K155&gt;=0.2),"3bet/call",IF(J155&gt;=K155,"3bet","Call")))</f>
        <v>Fold</v>
      </c>
      <c r="N155" s="15" t="n">
        <v>0</v>
      </c>
      <c r="O155" s="15" t="n">
        <v>0</v>
      </c>
      <c r="P155" s="8" t="n">
        <f aca="false">N155+O155</f>
        <v>0</v>
      </c>
      <c r="Q155" s="9" t="str">
        <f aca="false">IF(P155&lt;0.2,"Fold",IF(AND(N155&gt;=0.2,O155&gt;=0.2),"3bet/call",IF(N155&gt;=O155,"3bet","Call")))</f>
        <v>Fold</v>
      </c>
    </row>
    <row r="156" customFormat="false" ht="15" hidden="false" customHeight="true" outlineLevel="0" collapsed="false">
      <c r="A156" s="5" t="s">
        <v>237</v>
      </c>
      <c r="B156" s="15" t="n">
        <v>0</v>
      </c>
      <c r="C156" s="15" t="n">
        <v>0</v>
      </c>
      <c r="D156" s="8" t="n">
        <f aca="false">B156+C156</f>
        <v>0</v>
      </c>
      <c r="E156" s="9" t="str">
        <f aca="false">IF(D156&lt;0.2,"Fold",IF(AND(B156&gt;=0.2,C156&gt;=0.2),"3bet/call",IF(B156&gt;=C156,"3bet","Call")))</f>
        <v>Fold</v>
      </c>
      <c r="F156" s="15" t="n">
        <v>0</v>
      </c>
      <c r="G156" s="15" t="n">
        <v>0</v>
      </c>
      <c r="H156" s="8" t="n">
        <f aca="false">F156+G156</f>
        <v>0</v>
      </c>
      <c r="I156" s="9" t="str">
        <f aca="false">IF(H156&lt;0.2,"Fold",IF(AND(F156&gt;=0.2,G156&gt;=0.2),"3bet/call",IF(F156&gt;=G156,"3bet","Call")))</f>
        <v>Fold</v>
      </c>
      <c r="J156" s="15" t="n">
        <v>0</v>
      </c>
      <c r="K156" s="15" t="n">
        <v>0</v>
      </c>
      <c r="L156" s="8" t="n">
        <f aca="false">J156+K156</f>
        <v>0</v>
      </c>
      <c r="M156" s="9" t="str">
        <f aca="false">IF(L156&lt;0.2,"Fold",IF(AND(J156&gt;=0.2,K156&gt;=0.2),"3bet/call",IF(J156&gt;=K156,"3bet","Call")))</f>
        <v>Fold</v>
      </c>
      <c r="N156" s="15" t="n">
        <v>0</v>
      </c>
      <c r="O156" s="15" t="n">
        <v>0</v>
      </c>
      <c r="P156" s="8" t="n">
        <f aca="false">N156+O156</f>
        <v>0</v>
      </c>
      <c r="Q156" s="9" t="str">
        <f aca="false">IF(P156&lt;0.2,"Fold",IF(AND(N156&gt;=0.2,O156&gt;=0.2),"3bet/call",IF(N156&gt;=O156,"3bet","Call")))</f>
        <v>Fold</v>
      </c>
    </row>
    <row r="157" customFormat="false" ht="15" hidden="false" customHeight="true" outlineLevel="0" collapsed="false">
      <c r="A157" s="5" t="s">
        <v>238</v>
      </c>
      <c r="B157" s="15" t="n">
        <v>0</v>
      </c>
      <c r="C157" s="15" t="n">
        <v>0</v>
      </c>
      <c r="D157" s="8" t="n">
        <f aca="false">B157+C157</f>
        <v>0</v>
      </c>
      <c r="E157" s="9" t="str">
        <f aca="false">IF(D157&lt;0.2,"Fold",IF(AND(B157&gt;=0.2,C157&gt;=0.2),"3bet/call",IF(B157&gt;=C157,"3bet","Call")))</f>
        <v>Fold</v>
      </c>
      <c r="F157" s="15" t="n">
        <v>0</v>
      </c>
      <c r="G157" s="15" t="n">
        <v>0</v>
      </c>
      <c r="H157" s="8" t="n">
        <f aca="false">F157+G157</f>
        <v>0</v>
      </c>
      <c r="I157" s="9" t="str">
        <f aca="false">IF(H157&lt;0.2,"Fold",IF(AND(F157&gt;=0.2,G157&gt;=0.2),"3bet/call",IF(F157&gt;=G157,"3bet","Call")))</f>
        <v>Fold</v>
      </c>
      <c r="J157" s="15" t="n">
        <v>0</v>
      </c>
      <c r="K157" s="15" t="n">
        <v>0</v>
      </c>
      <c r="L157" s="8" t="n">
        <f aca="false">J157+K157</f>
        <v>0</v>
      </c>
      <c r="M157" s="9" t="str">
        <f aca="false">IF(L157&lt;0.2,"Fold",IF(AND(J157&gt;=0.2,K157&gt;=0.2),"3bet/call",IF(J157&gt;=K157,"3bet","Call")))</f>
        <v>Fold</v>
      </c>
      <c r="N157" s="15" t="n">
        <v>0</v>
      </c>
      <c r="O157" s="15" t="n">
        <v>0</v>
      </c>
      <c r="P157" s="8" t="n">
        <f aca="false">N157+O157</f>
        <v>0</v>
      </c>
      <c r="Q157" s="9" t="str">
        <f aca="false">IF(P157&lt;0.2,"Fold",IF(AND(N157&gt;=0.2,O157&gt;=0.2),"3bet/call",IF(N157&gt;=O157,"3bet","Call")))</f>
        <v>Fold</v>
      </c>
    </row>
    <row r="158" customFormat="false" ht="15" hidden="false" customHeight="true" outlineLevel="0" collapsed="false">
      <c r="A158" s="5" t="s">
        <v>239</v>
      </c>
      <c r="B158" s="15" t="n">
        <v>0</v>
      </c>
      <c r="C158" s="15" t="n">
        <v>0</v>
      </c>
      <c r="D158" s="8" t="n">
        <f aca="false">B158+C158</f>
        <v>0</v>
      </c>
      <c r="E158" s="9" t="str">
        <f aca="false">IF(D158&lt;0.2,"Fold",IF(AND(B158&gt;=0.2,C158&gt;=0.2),"3bet/call",IF(B158&gt;=C158,"3bet","Call")))</f>
        <v>Fold</v>
      </c>
      <c r="F158" s="15" t="n">
        <v>0</v>
      </c>
      <c r="G158" s="15" t="n">
        <v>0</v>
      </c>
      <c r="H158" s="8" t="n">
        <f aca="false">F158+G158</f>
        <v>0</v>
      </c>
      <c r="I158" s="9" t="str">
        <f aca="false">IF(H158&lt;0.2,"Fold",IF(AND(F158&gt;=0.2,G158&gt;=0.2),"3bet/call",IF(F158&gt;=G158,"3bet","Call")))</f>
        <v>Fold</v>
      </c>
      <c r="J158" s="15" t="n">
        <v>0</v>
      </c>
      <c r="K158" s="15" t="n">
        <v>0</v>
      </c>
      <c r="L158" s="8" t="n">
        <f aca="false">J158+K158</f>
        <v>0</v>
      </c>
      <c r="M158" s="9" t="str">
        <f aca="false">IF(L158&lt;0.2,"Fold",IF(AND(J158&gt;=0.2,K158&gt;=0.2),"3bet/call",IF(J158&gt;=K158,"3bet","Call")))</f>
        <v>Fold</v>
      </c>
      <c r="N158" s="15" t="n">
        <v>0</v>
      </c>
      <c r="O158" s="15" t="n">
        <v>0</v>
      </c>
      <c r="P158" s="8" t="n">
        <f aca="false">N158+O158</f>
        <v>0</v>
      </c>
      <c r="Q158" s="9" t="str">
        <f aca="false">IF(P158&lt;0.2,"Fold",IF(AND(N158&gt;=0.2,O158&gt;=0.2),"3bet/call",IF(N158&gt;=O158,"3bet","Call")))</f>
        <v>Fold</v>
      </c>
    </row>
    <row r="159" customFormat="false" ht="15" hidden="false" customHeight="true" outlineLevel="0" collapsed="false">
      <c r="A159" s="5" t="s">
        <v>240</v>
      </c>
      <c r="B159" s="15" t="n">
        <v>0</v>
      </c>
      <c r="C159" s="15" t="n">
        <v>0</v>
      </c>
      <c r="D159" s="8" t="n">
        <f aca="false">B159+C159</f>
        <v>0</v>
      </c>
      <c r="E159" s="9" t="str">
        <f aca="false">IF(D159&lt;0.2,"Fold",IF(AND(B159&gt;=0.2,C159&gt;=0.2),"3bet/call",IF(B159&gt;=C159,"3bet","Call")))</f>
        <v>Fold</v>
      </c>
      <c r="F159" s="15" t="n">
        <v>0</v>
      </c>
      <c r="G159" s="15" t="n">
        <v>0.2</v>
      </c>
      <c r="H159" s="8" t="n">
        <f aca="false">F159+G159</f>
        <v>0.2</v>
      </c>
      <c r="I159" s="9" t="str">
        <f aca="false">IF(H159&lt;0.2,"Fold",IF(AND(F159&gt;=0.2,G159&gt;=0.2),"3bet/call",IF(F159&gt;=G159,"3bet","Call")))</f>
        <v>Call</v>
      </c>
      <c r="J159" s="15" t="n">
        <v>0</v>
      </c>
      <c r="K159" s="15" t="n">
        <v>1</v>
      </c>
      <c r="L159" s="8" t="n">
        <f aca="false">J159+K159</f>
        <v>1</v>
      </c>
      <c r="M159" s="9" t="str">
        <f aca="false">IF(L159&lt;0.2,"Fold",IF(AND(J159&gt;=0.2,K159&gt;=0.2),"3bet/call",IF(J159&gt;=K159,"3bet","Call")))</f>
        <v>Call</v>
      </c>
      <c r="N159" s="15" t="n">
        <v>0</v>
      </c>
      <c r="O159" s="15" t="n">
        <v>1</v>
      </c>
      <c r="P159" s="8" t="n">
        <f aca="false">N159+O159</f>
        <v>1</v>
      </c>
      <c r="Q159" s="9" t="str">
        <f aca="false">IF(P159&lt;0.2,"Fold",IF(AND(N159&gt;=0.2,O159&gt;=0.2),"3bet/call",IF(N159&gt;=O159,"3bet","Call")))</f>
        <v>Call</v>
      </c>
    </row>
    <row r="160" customFormat="false" ht="15" hidden="false" customHeight="true" outlineLevel="0" collapsed="false">
      <c r="A160" s="5" t="s">
        <v>241</v>
      </c>
      <c r="B160" s="15" t="n">
        <v>0</v>
      </c>
      <c r="C160" s="15" t="n">
        <v>0</v>
      </c>
      <c r="D160" s="8" t="n">
        <f aca="false">B160+C160</f>
        <v>0</v>
      </c>
      <c r="E160" s="9" t="str">
        <f aca="false">IF(D160&lt;0.2,"Fold",IF(AND(B160&gt;=0.2,C160&gt;=0.2),"3bet/call",IF(B160&gt;=C160,"3bet","Call")))</f>
        <v>Fold</v>
      </c>
      <c r="F160" s="15" t="n">
        <v>0</v>
      </c>
      <c r="G160" s="15" t="n">
        <v>0</v>
      </c>
      <c r="H160" s="8" t="n">
        <f aca="false">F160+G160</f>
        <v>0</v>
      </c>
      <c r="I160" s="9" t="str">
        <f aca="false">IF(H160&lt;0.2,"Fold",IF(AND(F160&gt;=0.2,G160&gt;=0.2),"3bet/call",IF(F160&gt;=G160,"3bet","Call")))</f>
        <v>Fold</v>
      </c>
      <c r="J160" s="15" t="n">
        <v>0</v>
      </c>
      <c r="K160" s="15" t="n">
        <v>0</v>
      </c>
      <c r="L160" s="8" t="n">
        <f aca="false">J160+K160</f>
        <v>0</v>
      </c>
      <c r="M160" s="9" t="str">
        <f aca="false">IF(L160&lt;0.2,"Fold",IF(AND(J160&gt;=0.2,K160&gt;=0.2),"3bet/call",IF(J160&gt;=K160,"3bet","Call")))</f>
        <v>Fold</v>
      </c>
      <c r="N160" s="15" t="n">
        <v>0</v>
      </c>
      <c r="O160" s="15" t="n">
        <v>0</v>
      </c>
      <c r="P160" s="8" t="n">
        <f aca="false">N160+O160</f>
        <v>0</v>
      </c>
      <c r="Q160" s="9" t="str">
        <f aca="false">IF(P160&lt;0.2,"Fold",IF(AND(N160&gt;=0.2,O160&gt;=0.2),"3bet/call",IF(N160&gt;=O160,"3bet","Call")))</f>
        <v>Fold</v>
      </c>
    </row>
    <row r="161" customFormat="false" ht="15" hidden="false" customHeight="true" outlineLevel="0" collapsed="false">
      <c r="A161" s="5" t="s">
        <v>242</v>
      </c>
      <c r="B161" s="15" t="n">
        <v>0</v>
      </c>
      <c r="C161" s="15" t="n">
        <v>0</v>
      </c>
      <c r="D161" s="8" t="n">
        <f aca="false">B161+C161</f>
        <v>0</v>
      </c>
      <c r="E161" s="9" t="str">
        <f aca="false">IF(D161&lt;0.2,"Fold",IF(AND(B161&gt;=0.2,C161&gt;=0.2),"3bet/call",IF(B161&gt;=C161,"3bet","Call")))</f>
        <v>Fold</v>
      </c>
      <c r="F161" s="15" t="n">
        <v>0</v>
      </c>
      <c r="G161" s="15" t="n">
        <v>0</v>
      </c>
      <c r="H161" s="8" t="n">
        <f aca="false">F161+G161</f>
        <v>0</v>
      </c>
      <c r="I161" s="9" t="str">
        <f aca="false">IF(H161&lt;0.2,"Fold",IF(AND(F161&gt;=0.2,G161&gt;=0.2),"3bet/call",IF(F161&gt;=G161,"3bet","Call")))</f>
        <v>Fold</v>
      </c>
      <c r="J161" s="15" t="n">
        <v>0</v>
      </c>
      <c r="K161" s="15" t="n">
        <v>0</v>
      </c>
      <c r="L161" s="8" t="n">
        <f aca="false">J161+K161</f>
        <v>0</v>
      </c>
      <c r="M161" s="9" t="str">
        <f aca="false">IF(L161&lt;0.2,"Fold",IF(AND(J161&gt;=0.2,K161&gt;=0.2),"3bet/call",IF(J161&gt;=K161,"3bet","Call")))</f>
        <v>Fold</v>
      </c>
      <c r="N161" s="15" t="n">
        <v>0</v>
      </c>
      <c r="O161" s="15" t="n">
        <v>0</v>
      </c>
      <c r="P161" s="8" t="n">
        <f aca="false">N161+O161</f>
        <v>0</v>
      </c>
      <c r="Q161" s="9" t="str">
        <f aca="false">IF(P161&lt;0.2,"Fold",IF(AND(N161&gt;=0.2,O161&gt;=0.2),"3bet/call",IF(N161&gt;=O161,"3bet","Call")))</f>
        <v>Fold</v>
      </c>
    </row>
    <row r="162" customFormat="false" ht="15" hidden="false" customHeight="true" outlineLevel="0" collapsed="false">
      <c r="A162" s="5" t="s">
        <v>243</v>
      </c>
      <c r="B162" s="15" t="n">
        <v>0</v>
      </c>
      <c r="C162" s="15" t="n">
        <v>0</v>
      </c>
      <c r="D162" s="8" t="n">
        <f aca="false">B162+C162</f>
        <v>0</v>
      </c>
      <c r="E162" s="9" t="str">
        <f aca="false">IF(D162&lt;0.2,"Fold",IF(AND(B162&gt;=0.2,C162&gt;=0.2),"3bet/call",IF(B162&gt;=C162,"3bet","Call")))</f>
        <v>Fold</v>
      </c>
      <c r="F162" s="15" t="n">
        <v>0</v>
      </c>
      <c r="G162" s="15" t="n">
        <v>0</v>
      </c>
      <c r="H162" s="8" t="n">
        <f aca="false">F162+G162</f>
        <v>0</v>
      </c>
      <c r="I162" s="9" t="str">
        <f aca="false">IF(H162&lt;0.2,"Fold",IF(AND(F162&gt;=0.2,G162&gt;=0.2),"3bet/call",IF(F162&gt;=G162,"3bet","Call")))</f>
        <v>Fold</v>
      </c>
      <c r="J162" s="15" t="n">
        <v>0</v>
      </c>
      <c r="K162" s="15" t="n">
        <v>0</v>
      </c>
      <c r="L162" s="8" t="n">
        <f aca="false">J162+K162</f>
        <v>0</v>
      </c>
      <c r="M162" s="9" t="str">
        <f aca="false">IF(L162&lt;0.2,"Fold",IF(AND(J162&gt;=0.2,K162&gt;=0.2),"3bet/call",IF(J162&gt;=K162,"3bet","Call")))</f>
        <v>Fold</v>
      </c>
      <c r="N162" s="15" t="n">
        <v>0</v>
      </c>
      <c r="O162" s="15" t="n">
        <v>0</v>
      </c>
      <c r="P162" s="8" t="n">
        <f aca="false">N162+O162</f>
        <v>0</v>
      </c>
      <c r="Q162" s="9" t="str">
        <f aca="false">IF(P162&lt;0.2,"Fold",IF(AND(N162&gt;=0.2,O162&gt;=0.2),"3bet/call",IF(N162&gt;=O162,"3bet","Call")))</f>
        <v>Fold</v>
      </c>
    </row>
    <row r="163" customFormat="false" ht="15" hidden="false" customHeight="true" outlineLevel="0" collapsed="false">
      <c r="A163" s="5" t="s">
        <v>244</v>
      </c>
      <c r="B163" s="15" t="n">
        <v>0</v>
      </c>
      <c r="C163" s="15" t="n">
        <v>0</v>
      </c>
      <c r="D163" s="8" t="n">
        <f aca="false">B163+C163</f>
        <v>0</v>
      </c>
      <c r="E163" s="9" t="str">
        <f aca="false">IF(D163&lt;0.2,"Fold",IF(AND(B163&gt;=0.2,C163&gt;=0.2),"3bet/call",IF(B163&gt;=C163,"3bet","Call")))</f>
        <v>Fold</v>
      </c>
      <c r="F163" s="15" t="n">
        <v>0</v>
      </c>
      <c r="G163" s="15" t="n">
        <v>0</v>
      </c>
      <c r="H163" s="8" t="n">
        <f aca="false">F163+G163</f>
        <v>0</v>
      </c>
      <c r="I163" s="9" t="str">
        <f aca="false">IF(H163&lt;0.2,"Fold",IF(AND(F163&gt;=0.2,G163&gt;=0.2),"3bet/call",IF(F163&gt;=G163,"3bet","Call")))</f>
        <v>Fold</v>
      </c>
      <c r="J163" s="15" t="n">
        <v>0</v>
      </c>
      <c r="K163" s="15" t="n">
        <v>0</v>
      </c>
      <c r="L163" s="8" t="n">
        <f aca="false">J163+K163</f>
        <v>0</v>
      </c>
      <c r="M163" s="9" t="str">
        <f aca="false">IF(L163&lt;0.2,"Fold",IF(AND(J163&gt;=0.2,K163&gt;=0.2),"3bet/call",IF(J163&gt;=K163,"3bet","Call")))</f>
        <v>Fold</v>
      </c>
      <c r="N163" s="15" t="n">
        <v>0</v>
      </c>
      <c r="O163" s="15" t="n">
        <v>0</v>
      </c>
      <c r="P163" s="8" t="n">
        <f aca="false">N163+O163</f>
        <v>0</v>
      </c>
      <c r="Q163" s="9" t="str">
        <f aca="false">IF(P163&lt;0.2,"Fold",IF(AND(N163&gt;=0.2,O163&gt;=0.2),"3bet/call",IF(N163&gt;=O163,"3bet","Call")))</f>
        <v>Fold</v>
      </c>
    </row>
    <row r="164" customFormat="false" ht="15" hidden="false" customHeight="true" outlineLevel="0" collapsed="false">
      <c r="A164" s="5" t="s">
        <v>245</v>
      </c>
      <c r="B164" s="15" t="n">
        <v>0</v>
      </c>
      <c r="C164" s="15" t="n">
        <v>0</v>
      </c>
      <c r="D164" s="8" t="n">
        <f aca="false">B164+C164</f>
        <v>0</v>
      </c>
      <c r="E164" s="9" t="str">
        <f aca="false">IF(D164&lt;0.2,"Fold",IF(AND(B164&gt;=0.2,C164&gt;=0.2),"3bet/call",IF(B164&gt;=C164,"3bet","Call")))</f>
        <v>Fold</v>
      </c>
      <c r="F164" s="15" t="n">
        <v>0</v>
      </c>
      <c r="G164" s="15" t="n">
        <v>0</v>
      </c>
      <c r="H164" s="8" t="n">
        <f aca="false">F164+G164</f>
        <v>0</v>
      </c>
      <c r="I164" s="9" t="str">
        <f aca="false">IF(H164&lt;0.2,"Fold",IF(AND(F164&gt;=0.2,G164&gt;=0.2),"3bet/call",IF(F164&gt;=G164,"3bet","Call")))</f>
        <v>Fold</v>
      </c>
      <c r="J164" s="15" t="n">
        <v>0</v>
      </c>
      <c r="K164" s="15" t="n">
        <v>0</v>
      </c>
      <c r="L164" s="8" t="n">
        <f aca="false">J164+K164</f>
        <v>0</v>
      </c>
      <c r="M164" s="9" t="str">
        <f aca="false">IF(L164&lt;0.2,"Fold",IF(AND(J164&gt;=0.2,K164&gt;=0.2),"3bet/call",IF(J164&gt;=K164,"3bet","Call")))</f>
        <v>Fold</v>
      </c>
      <c r="N164" s="15" t="n">
        <v>0</v>
      </c>
      <c r="O164" s="15" t="n">
        <v>0</v>
      </c>
      <c r="P164" s="8" t="n">
        <f aca="false">N164+O164</f>
        <v>0</v>
      </c>
      <c r="Q164" s="9" t="str">
        <f aca="false">IF(P164&lt;0.2,"Fold",IF(AND(N164&gt;=0.2,O164&gt;=0.2),"3bet/call",IF(N164&gt;=O164,"3bet","Call")))</f>
        <v>Fold</v>
      </c>
    </row>
    <row r="165" customFormat="false" ht="15" hidden="false" customHeight="true" outlineLevel="0" collapsed="false">
      <c r="A165" s="5" t="s">
        <v>246</v>
      </c>
      <c r="B165" s="15" t="n">
        <v>0</v>
      </c>
      <c r="C165" s="15" t="n">
        <v>0</v>
      </c>
      <c r="D165" s="8" t="n">
        <f aca="false">B165+C165</f>
        <v>0</v>
      </c>
      <c r="E165" s="9" t="str">
        <f aca="false">IF(D165&lt;0.2,"Fold",IF(AND(B165&gt;=0.2,C165&gt;=0.2),"3bet/call",IF(B165&gt;=C165,"3bet","Call")))</f>
        <v>Fold</v>
      </c>
      <c r="F165" s="15" t="n">
        <v>0</v>
      </c>
      <c r="G165" s="15" t="n">
        <v>0</v>
      </c>
      <c r="H165" s="8" t="n">
        <f aca="false">F165+G165</f>
        <v>0</v>
      </c>
      <c r="I165" s="9" t="str">
        <f aca="false">IF(H165&lt;0.2,"Fold",IF(AND(F165&gt;=0.2,G165&gt;=0.2),"3bet/call",IF(F165&gt;=G165,"3bet","Call")))</f>
        <v>Fold</v>
      </c>
      <c r="J165" s="15" t="n">
        <v>0</v>
      </c>
      <c r="K165" s="15" t="n">
        <v>0</v>
      </c>
      <c r="L165" s="8" t="n">
        <f aca="false">J165+K165</f>
        <v>0</v>
      </c>
      <c r="M165" s="9" t="str">
        <f aca="false">IF(L165&lt;0.2,"Fold",IF(AND(J165&gt;=0.2,K165&gt;=0.2),"3bet/call",IF(J165&gt;=K165,"3bet","Call")))</f>
        <v>Fold</v>
      </c>
      <c r="N165" s="15" t="n">
        <v>0</v>
      </c>
      <c r="O165" s="15" t="n">
        <v>0</v>
      </c>
      <c r="P165" s="8" t="n">
        <f aca="false">N165+O165</f>
        <v>0</v>
      </c>
      <c r="Q165" s="9" t="str">
        <f aca="false">IF(P165&lt;0.2,"Fold",IF(AND(N165&gt;=0.2,O165&gt;=0.2),"3bet/call",IF(N165&gt;=O165,"3bet","Call")))</f>
        <v>Fold</v>
      </c>
    </row>
    <row r="166" customFormat="false" ht="15" hidden="false" customHeight="true" outlineLevel="0" collapsed="false">
      <c r="A166" s="5" t="s">
        <v>247</v>
      </c>
      <c r="B166" s="15" t="n">
        <v>0</v>
      </c>
      <c r="C166" s="15" t="n">
        <v>0</v>
      </c>
      <c r="D166" s="8" t="n">
        <f aca="false">B166+C166</f>
        <v>0</v>
      </c>
      <c r="E166" s="9" t="str">
        <f aca="false">IF(D166&lt;0.2,"Fold",IF(AND(B166&gt;=0.2,C166&gt;=0.2),"3bet/call",IF(B166&gt;=C166,"3bet","Call")))</f>
        <v>Fold</v>
      </c>
      <c r="F166" s="15" t="n">
        <v>0</v>
      </c>
      <c r="G166" s="15" t="n">
        <v>0</v>
      </c>
      <c r="H166" s="8" t="n">
        <f aca="false">F166+G166</f>
        <v>0</v>
      </c>
      <c r="I166" s="9" t="str">
        <f aca="false">IF(H166&lt;0.2,"Fold",IF(AND(F166&gt;=0.2,G166&gt;=0.2),"3bet/call",IF(F166&gt;=G166,"3bet","Call")))</f>
        <v>Fold</v>
      </c>
      <c r="J166" s="15" t="n">
        <v>0</v>
      </c>
      <c r="K166" s="15" t="n">
        <v>0</v>
      </c>
      <c r="L166" s="8" t="n">
        <f aca="false">J166+K166</f>
        <v>0</v>
      </c>
      <c r="M166" s="9" t="str">
        <f aca="false">IF(L166&lt;0.2,"Fold",IF(AND(J166&gt;=0.2,K166&gt;=0.2),"3bet/call",IF(J166&gt;=K166,"3bet","Call")))</f>
        <v>Fold</v>
      </c>
      <c r="N166" s="15" t="n">
        <v>0</v>
      </c>
      <c r="O166" s="15" t="n">
        <v>0</v>
      </c>
      <c r="P166" s="8" t="n">
        <f aca="false">N166+O166</f>
        <v>0</v>
      </c>
      <c r="Q166" s="9" t="str">
        <f aca="false">IF(P166&lt;0.2,"Fold",IF(AND(N166&gt;=0.2,O166&gt;=0.2),"3bet/call",IF(N166&gt;=O166,"3bet","Call")))</f>
        <v>Fold</v>
      </c>
    </row>
    <row r="167" customFormat="false" ht="15" hidden="false" customHeight="true" outlineLevel="0" collapsed="false">
      <c r="A167" s="5" t="s">
        <v>248</v>
      </c>
      <c r="B167" s="15" t="n">
        <v>0</v>
      </c>
      <c r="C167" s="15" t="n">
        <v>0</v>
      </c>
      <c r="D167" s="8" t="n">
        <f aca="false">B167+C167</f>
        <v>0</v>
      </c>
      <c r="E167" s="9" t="str">
        <f aca="false">IF(D167&lt;0.2,"Fold",IF(AND(B167&gt;=0.2,C167&gt;=0.2),"3bet/call",IF(B167&gt;=C167,"3bet","Call")))</f>
        <v>Fold</v>
      </c>
      <c r="F167" s="15" t="n">
        <v>0</v>
      </c>
      <c r="G167" s="15" t="n">
        <v>0</v>
      </c>
      <c r="H167" s="8" t="n">
        <f aca="false">F167+G167</f>
        <v>0</v>
      </c>
      <c r="I167" s="9" t="str">
        <f aca="false">IF(H167&lt;0.2,"Fold",IF(AND(F167&gt;=0.2,G167&gt;=0.2),"3bet/call",IF(F167&gt;=G167,"3bet","Call")))</f>
        <v>Fold</v>
      </c>
      <c r="J167" s="15" t="n">
        <v>0</v>
      </c>
      <c r="K167" s="15" t="n">
        <v>0</v>
      </c>
      <c r="L167" s="8" t="n">
        <f aca="false">J167+K167</f>
        <v>0</v>
      </c>
      <c r="M167" s="9" t="str">
        <f aca="false">IF(L167&lt;0.2,"Fold",IF(AND(J167&gt;=0.2,K167&gt;=0.2),"3bet/call",IF(J167&gt;=K167,"3bet","Call")))</f>
        <v>Fold</v>
      </c>
      <c r="N167" s="15" t="n">
        <v>0</v>
      </c>
      <c r="O167" s="15" t="n">
        <v>0</v>
      </c>
      <c r="P167" s="8" t="n">
        <f aca="false">N167+O167</f>
        <v>0</v>
      </c>
      <c r="Q167" s="9" t="str">
        <f aca="false">IF(P167&lt;0.2,"Fold",IF(AND(N167&gt;=0.2,O167&gt;=0.2),"3bet/call",IF(N167&gt;=O167,"3bet","Call")))</f>
        <v>Fold</v>
      </c>
    </row>
    <row r="168" customFormat="false" ht="15" hidden="false" customHeight="true" outlineLevel="0" collapsed="false">
      <c r="A168" s="5" t="s">
        <v>249</v>
      </c>
      <c r="B168" s="15" t="n">
        <v>0</v>
      </c>
      <c r="C168" s="15" t="n">
        <v>0</v>
      </c>
      <c r="D168" s="8" t="n">
        <f aca="false">B168+C168</f>
        <v>0</v>
      </c>
      <c r="E168" s="9" t="str">
        <f aca="false">IF(D168&lt;0.2,"Fold",IF(AND(B168&gt;=0.2,C168&gt;=0.2),"3bet/call",IF(B168&gt;=C168,"3bet","Call")))</f>
        <v>Fold</v>
      </c>
      <c r="F168" s="15" t="n">
        <v>0</v>
      </c>
      <c r="G168" s="15" t="n">
        <v>0</v>
      </c>
      <c r="H168" s="8" t="n">
        <f aca="false">F168+G168</f>
        <v>0</v>
      </c>
      <c r="I168" s="9" t="str">
        <f aca="false">IF(H168&lt;0.2,"Fold",IF(AND(F168&gt;=0.2,G168&gt;=0.2),"3bet/call",IF(F168&gt;=G168,"3bet","Call")))</f>
        <v>Fold</v>
      </c>
      <c r="J168" s="15" t="n">
        <v>0</v>
      </c>
      <c r="K168" s="15" t="n">
        <v>0</v>
      </c>
      <c r="L168" s="8" t="n">
        <f aca="false">J168+K168</f>
        <v>0</v>
      </c>
      <c r="M168" s="9" t="str">
        <f aca="false">IF(L168&lt;0.2,"Fold",IF(AND(J168&gt;=0.2,K168&gt;=0.2),"3bet/call",IF(J168&gt;=K168,"3bet","Call")))</f>
        <v>Fold</v>
      </c>
      <c r="N168" s="15" t="n">
        <v>0</v>
      </c>
      <c r="O168" s="15" t="n">
        <v>0</v>
      </c>
      <c r="P168" s="8" t="n">
        <f aca="false">N168+O168</f>
        <v>0</v>
      </c>
      <c r="Q168" s="9" t="str">
        <f aca="false">IF(P168&lt;0.2,"Fold",IF(AND(N168&gt;=0.2,O168&gt;=0.2),"3bet/call",IF(N168&gt;=O168,"3bet","Call")))</f>
        <v>Fold</v>
      </c>
    </row>
    <row r="169" customFormat="false" ht="15" hidden="false" customHeight="true" outlineLevel="0" collapsed="false">
      <c r="A169" s="5" t="s">
        <v>250</v>
      </c>
      <c r="B169" s="15" t="n">
        <v>0</v>
      </c>
      <c r="C169" s="15" t="n">
        <v>0</v>
      </c>
      <c r="D169" s="8" t="n">
        <f aca="false">B169+C169</f>
        <v>0</v>
      </c>
      <c r="E169" s="9" t="str">
        <f aca="false">IF(D169&lt;0.2,"Fold",IF(AND(B169&gt;=0.2,C169&gt;=0.2),"3bet/call",IF(B169&gt;=C169,"3bet","Call")))</f>
        <v>Fold</v>
      </c>
      <c r="F169" s="15" t="n">
        <v>0</v>
      </c>
      <c r="G169" s="15" t="n">
        <v>0</v>
      </c>
      <c r="H169" s="8" t="n">
        <f aca="false">F169+G169</f>
        <v>0</v>
      </c>
      <c r="I169" s="9" t="str">
        <f aca="false">IF(H169&lt;0.2,"Fold",IF(AND(F169&gt;=0.2,G169&gt;=0.2),"3bet/call",IF(F169&gt;=G169,"3bet","Call")))</f>
        <v>Fold</v>
      </c>
      <c r="J169" s="15" t="n">
        <v>0</v>
      </c>
      <c r="K169" s="15" t="n">
        <v>0</v>
      </c>
      <c r="L169" s="8" t="n">
        <f aca="false">J169+K169</f>
        <v>0</v>
      </c>
      <c r="M169" s="9" t="str">
        <f aca="false">IF(L169&lt;0.2,"Fold",IF(AND(J169&gt;=0.2,K169&gt;=0.2),"3bet/call",IF(J169&gt;=K169,"3bet","Call")))</f>
        <v>Fold</v>
      </c>
      <c r="N169" s="15" t="n">
        <v>0</v>
      </c>
      <c r="O169" s="15" t="n">
        <v>0</v>
      </c>
      <c r="P169" s="8" t="n">
        <f aca="false">N169+O169</f>
        <v>0</v>
      </c>
      <c r="Q169" s="9" t="str">
        <f aca="false">IF(P169&lt;0.2,"Fold",IF(AND(N169&gt;=0.2,O169&gt;=0.2),"3bet/call",IF(N169&gt;=O169,"3bet","Call")))</f>
        <v>Fold</v>
      </c>
    </row>
    <row r="170" customFormat="false" ht="15" hidden="false" customHeight="true" outlineLevel="0" collapsed="false">
      <c r="A170" s="5" t="s">
        <v>251</v>
      </c>
      <c r="B170" s="15" t="n">
        <v>0</v>
      </c>
      <c r="C170" s="15" t="n">
        <v>0</v>
      </c>
      <c r="D170" s="8" t="n">
        <f aca="false">B170+C170</f>
        <v>0</v>
      </c>
      <c r="E170" s="9" t="str">
        <f aca="false">IF(D170&lt;0.2,"Fold",IF(AND(B170&gt;=0.2,C170&gt;=0.2),"3bet/call",IF(B170&gt;=C170,"3bet","Call")))</f>
        <v>Fold</v>
      </c>
      <c r="F170" s="15" t="n">
        <v>0</v>
      </c>
      <c r="G170" s="15" t="n">
        <v>0</v>
      </c>
      <c r="H170" s="8" t="n">
        <f aca="false">F170+G170</f>
        <v>0</v>
      </c>
      <c r="I170" s="9" t="str">
        <f aca="false">IF(H170&lt;0.2,"Fold",IF(AND(F170&gt;=0.2,G170&gt;=0.2),"3bet/call",IF(F170&gt;=G170,"3bet","Call")))</f>
        <v>Fold</v>
      </c>
      <c r="J170" s="15" t="n">
        <v>0</v>
      </c>
      <c r="K170" s="15" t="n">
        <v>0</v>
      </c>
      <c r="L170" s="8" t="n">
        <f aca="false">J170+K170</f>
        <v>0</v>
      </c>
      <c r="M170" s="9" t="str">
        <f aca="false">IF(L170&lt;0.2,"Fold",IF(AND(J170&gt;=0.2,K170&gt;=0.2),"3bet/call",IF(J170&gt;=K170,"3bet","Call")))</f>
        <v>Fold</v>
      </c>
      <c r="N170" s="15" t="n">
        <v>0</v>
      </c>
      <c r="O170" s="15" t="n">
        <v>0</v>
      </c>
      <c r="P170" s="8" t="n">
        <f aca="false">N170+O170</f>
        <v>0</v>
      </c>
      <c r="Q170" s="9" t="str">
        <f aca="false">IF(P170&lt;0.2,"Fold",IF(AND(N170&gt;=0.2,O170&gt;=0.2),"3bet/call",IF(N170&gt;=O170,"3bet","Call")))</f>
        <v>Fold</v>
      </c>
    </row>
    <row r="171" customFormat="false" ht="15" hidden="false" customHeight="true" outlineLevel="0" collapsed="false">
      <c r="A171" s="5" t="s">
        <v>252</v>
      </c>
      <c r="B171" s="15" t="n">
        <v>0</v>
      </c>
      <c r="C171" s="15" t="n">
        <v>0</v>
      </c>
      <c r="D171" s="8" t="n">
        <f aca="false">B171+C171</f>
        <v>0</v>
      </c>
      <c r="E171" s="9" t="str">
        <f aca="false">IF(D171&lt;0.2,"Fold",IF(AND(B171&gt;=0.2,C171&gt;=0.2),"3bet/call",IF(B171&gt;=C171,"3bet","Call")))</f>
        <v>Fold</v>
      </c>
      <c r="F171" s="15" t="n">
        <v>0</v>
      </c>
      <c r="G171" s="15" t="n">
        <v>0</v>
      </c>
      <c r="H171" s="8" t="n">
        <f aca="false">F171+G171</f>
        <v>0</v>
      </c>
      <c r="I171" s="9" t="str">
        <f aca="false">IF(H171&lt;0.2,"Fold",IF(AND(F171&gt;=0.2,G171&gt;=0.2),"3bet/call",IF(F171&gt;=G171,"3bet","Call")))</f>
        <v>Fold</v>
      </c>
      <c r="J171" s="15" t="n">
        <v>0</v>
      </c>
      <c r="K171" s="15" t="n">
        <v>0</v>
      </c>
      <c r="L171" s="8" t="n">
        <f aca="false">J171+K171</f>
        <v>0</v>
      </c>
      <c r="M171" s="9" t="str">
        <f aca="false">IF(L171&lt;0.2,"Fold",IF(AND(J171&gt;=0.2,K171&gt;=0.2),"3bet/call",IF(J171&gt;=K171,"3bet","Call")))</f>
        <v>Fold</v>
      </c>
      <c r="N171" s="15" t="n">
        <v>0</v>
      </c>
      <c r="O171" s="15" t="n">
        <v>0</v>
      </c>
      <c r="P171" s="8" t="n">
        <f aca="false">N171+O171</f>
        <v>0</v>
      </c>
      <c r="Q171" s="9" t="str">
        <f aca="false">IF(P171&lt;0.2,"Fold",IF(AND(N171&gt;=0.2,O171&gt;=0.2),"3bet/call",IF(N171&gt;=O171,"3bet","Call")))</f>
        <v>Fold</v>
      </c>
    </row>
    <row r="172" customFormat="false" ht="15" hidden="false" customHeight="true" outlineLevel="0" collapsed="false">
      <c r="A172" s="5" t="s">
        <v>253</v>
      </c>
      <c r="B172" s="15" t="n">
        <v>0</v>
      </c>
      <c r="C172" s="15" t="n">
        <v>0</v>
      </c>
      <c r="D172" s="8" t="n">
        <f aca="false">B172+C172</f>
        <v>0</v>
      </c>
      <c r="E172" s="9" t="str">
        <f aca="false">IF(D172&lt;0.2,"Fold",IF(AND(B172&gt;=0.2,C172&gt;=0.2),"3bet/call",IF(B172&gt;=C172,"3bet","Call")))</f>
        <v>Fold</v>
      </c>
      <c r="F172" s="15" t="n">
        <v>0</v>
      </c>
      <c r="G172" s="15" t="n">
        <v>0</v>
      </c>
      <c r="H172" s="8" t="n">
        <f aca="false">F172+G172</f>
        <v>0</v>
      </c>
      <c r="I172" s="9" t="str">
        <f aca="false">IF(H172&lt;0.2,"Fold",IF(AND(F172&gt;=0.2,G172&gt;=0.2),"3bet/call",IF(F172&gt;=G172,"3bet","Call")))</f>
        <v>Fold</v>
      </c>
      <c r="J172" s="15" t="n">
        <v>0</v>
      </c>
      <c r="K172" s="15" t="n">
        <v>0</v>
      </c>
      <c r="L172" s="8" t="n">
        <f aca="false">J172+K172</f>
        <v>0</v>
      </c>
      <c r="M172" s="9" t="str">
        <f aca="false">IF(L172&lt;0.2,"Fold",IF(AND(J172&gt;=0.2,K172&gt;=0.2),"3bet/call",IF(J172&gt;=K172,"3bet","Call")))</f>
        <v>Fold</v>
      </c>
      <c r="N172" s="15" t="n">
        <v>0</v>
      </c>
      <c r="O172" s="15" t="n">
        <v>0</v>
      </c>
      <c r="P172" s="8" t="n">
        <f aca="false">N172+O172</f>
        <v>0</v>
      </c>
      <c r="Q172" s="9" t="str">
        <f aca="false">IF(P172&lt;0.2,"Fold",IF(AND(N172&gt;=0.2,O172&gt;=0.2),"3bet/call",IF(N172&gt;=O172,"3bet","Call")))</f>
        <v>Fold</v>
      </c>
    </row>
    <row r="173" customFormat="false" ht="15" hidden="false" customHeight="true" outlineLevel="0" collapsed="false">
      <c r="A173" s="5" t="s">
        <v>254</v>
      </c>
      <c r="B173" s="15" t="n">
        <v>0</v>
      </c>
      <c r="C173" s="15" t="n">
        <v>0</v>
      </c>
      <c r="D173" s="8" t="n">
        <f aca="false">B173+C173</f>
        <v>0</v>
      </c>
      <c r="E173" s="9" t="str">
        <f aca="false">IF(D173&lt;0.2,"Fold",IF(AND(B173&gt;=0.2,C173&gt;=0.2),"3bet/call",IF(B173&gt;=C173,"3bet","Call")))</f>
        <v>Fold</v>
      </c>
      <c r="F173" s="15" t="n">
        <v>0</v>
      </c>
      <c r="G173" s="15" t="n">
        <v>0.2</v>
      </c>
      <c r="H173" s="8" t="n">
        <f aca="false">F173+G173</f>
        <v>0.2</v>
      </c>
      <c r="I173" s="9" t="str">
        <f aca="false">IF(H173&lt;0.2,"Fold",IF(AND(F173&gt;=0.2,G173&gt;=0.2),"3bet/call",IF(F173&gt;=G173,"3bet","Call")))</f>
        <v>Call</v>
      </c>
      <c r="J173" s="15" t="n">
        <v>0</v>
      </c>
      <c r="K173" s="15" t="n">
        <v>1</v>
      </c>
      <c r="L173" s="8" t="n">
        <f aca="false">J173+K173</f>
        <v>1</v>
      </c>
      <c r="M173" s="9" t="str">
        <f aca="false">IF(L173&lt;0.2,"Fold",IF(AND(J173&gt;=0.2,K173&gt;=0.2),"3bet/call",IF(J173&gt;=K173,"3bet","Call")))</f>
        <v>Call</v>
      </c>
      <c r="N173" s="15" t="n">
        <v>0</v>
      </c>
      <c r="O173" s="15" t="n">
        <v>1</v>
      </c>
      <c r="P173" s="8" t="n">
        <f aca="false">N173+O173</f>
        <v>1</v>
      </c>
      <c r="Q173" s="9" t="str">
        <f aca="false">IF(P173&lt;0.2,"Fold",IF(AND(N173&gt;=0.2,O173&gt;=0.2),"3bet/call",IF(N173&gt;=O173,"3bet","Call")))</f>
        <v>Call</v>
      </c>
    </row>
    <row r="175" customFormat="false" ht="15" hidden="false" customHeight="true" outlineLevel="0" collapsed="false">
      <c r="A175" s="3" t="s">
        <v>255</v>
      </c>
    </row>
  </sheetData>
  <conditionalFormatting sqref="D5:D173">
    <cfRule type="colorScale" priority="2">
      <colorScale>
        <cfvo type="num" val="0"/>
        <cfvo type="num" val="1"/>
        <color rgb="FFFFFFFF"/>
        <color rgb="FF63BE7B"/>
      </colorScale>
    </cfRule>
  </conditionalFormatting>
  <conditionalFormatting sqref="H5:H173">
    <cfRule type="colorScale" priority="3">
      <colorScale>
        <cfvo type="num" val="0"/>
        <cfvo type="num" val="1"/>
        <color rgb="FFFFFFFF"/>
        <color rgb="FF63BE7B"/>
      </colorScale>
    </cfRule>
  </conditionalFormatting>
  <conditionalFormatting sqref="L5:L173">
    <cfRule type="colorScale" priority="4">
      <colorScale>
        <cfvo type="num" val="0"/>
        <cfvo type="num" val="1"/>
        <color rgb="FFFFFFFF"/>
        <color rgb="FF63BE7B"/>
      </colorScale>
    </cfRule>
  </conditionalFormatting>
  <conditionalFormatting sqref="P5:P173">
    <cfRule type="colorScale" priority="5">
      <colorScale>
        <cfvo type="num" val="0"/>
        <cfvo type="num" val="1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9" min="2" style="1" width="9"/>
    <col collapsed="false" customWidth="true" hidden="false" outlineLevel="0" max="11" min="11" style="1" width="44"/>
    <col collapsed="false" customWidth="true" hidden="false" outlineLevel="0" max="13" min="12" style="1" width="9"/>
  </cols>
  <sheetData>
    <row r="1" customFormat="false" ht="17.25" hidden="false" customHeight="true" outlineLevel="0" collapsed="false">
      <c r="A1" s="2" t="s">
        <v>256</v>
      </c>
    </row>
    <row r="2" customFormat="false" ht="15" hidden="false" customHeight="true" outlineLevel="0" collapsed="false">
      <c r="A2" s="3" t="s">
        <v>257</v>
      </c>
    </row>
    <row r="4" customFormat="false" ht="15" hidden="false" customHeight="true" outlineLevel="0" collapsed="false">
      <c r="A4" s="17" t="s">
        <v>77</v>
      </c>
      <c r="B4" s="17" t="s">
        <v>258</v>
      </c>
      <c r="C4" s="17" t="s">
        <v>259</v>
      </c>
      <c r="D4" s="17" t="s">
        <v>260</v>
      </c>
      <c r="E4" s="17" t="s">
        <v>261</v>
      </c>
      <c r="F4" s="17" t="s">
        <v>262</v>
      </c>
      <c r="G4" s="17" t="s">
        <v>263</v>
      </c>
      <c r="H4" s="17" t="s">
        <v>264</v>
      </c>
      <c r="I4" s="17" t="s">
        <v>265</v>
      </c>
      <c r="K4" s="10" t="s">
        <v>266</v>
      </c>
    </row>
    <row r="5" customFormat="false" ht="15" hidden="false" customHeight="true" outlineLevel="0" collapsed="false">
      <c r="A5" s="5" t="s">
        <v>86</v>
      </c>
      <c r="B5" s="16" t="n">
        <v>0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K5" s="18"/>
      <c r="L5" s="18" t="s">
        <v>28</v>
      </c>
      <c r="M5" s="18" t="s">
        <v>29</v>
      </c>
    </row>
    <row r="6" customFormat="false" ht="15" hidden="false" customHeight="true" outlineLevel="0" collapsed="false">
      <c r="A6" s="5" t="s">
        <v>87</v>
      </c>
      <c r="B6" s="16" t="n">
        <v>0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K6" s="9" t="s">
        <v>267</v>
      </c>
      <c r="L6" s="19" t="n">
        <f aca="false">SUM(B5:B173)</f>
        <v>450</v>
      </c>
      <c r="M6" s="19" t="n">
        <f aca="false">SUM(C5:C173)</f>
        <v>533</v>
      </c>
    </row>
    <row r="7" customFormat="false" ht="15" hidden="false" customHeight="true" outlineLevel="0" collapsed="false">
      <c r="A7" s="5" t="s">
        <v>88</v>
      </c>
      <c r="B7" s="16" t="n">
        <v>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K7" s="9" t="s">
        <v>268</v>
      </c>
      <c r="L7" s="19" t="n">
        <f aca="false">SUMPRODUCT((Maos_por_spot!$D$5:$D$173&gt;=0.8)*B5:B173)</f>
        <v>7</v>
      </c>
      <c r="M7" s="19" t="n">
        <f aca="false">SUMPRODUCT((Maos_por_spot!$D$5:$D$173&gt;=0.8)*C5:C173)</f>
        <v>5</v>
      </c>
    </row>
    <row r="8" customFormat="false" ht="15" hidden="false" customHeight="true" outlineLevel="0" collapsed="false">
      <c r="A8" s="5" t="s">
        <v>89</v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K8" s="9" t="s">
        <v>269</v>
      </c>
      <c r="L8" s="19" t="n">
        <f aca="false">SUMPRODUCT((Maos_por_spot!$D$5:$D$173&gt;=0.3)*(Maos_por_spot!$D$5:$D$173&lt;0.8)*B5:B173)</f>
        <v>3</v>
      </c>
      <c r="M8" s="19" t="n">
        <f aca="false">SUMPRODUCT((Maos_por_spot!$D$5:$D$173&gt;=0.3)*(Maos_por_spot!$D$5:$D$173&lt;0.8)*C5:C173)</f>
        <v>2</v>
      </c>
    </row>
    <row r="9" customFormat="false" ht="15" hidden="false" customHeight="true" outlineLevel="0" collapsed="false">
      <c r="A9" s="5" t="s">
        <v>90</v>
      </c>
      <c r="B9" s="16" t="n">
        <v>0</v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K9" s="9" t="s">
        <v>270</v>
      </c>
      <c r="L9" s="19" t="n">
        <f aca="false">SUMPRODUCT((Maos_por_spot!$D$5:$D$173&lt;0.3)*B5:B173)</f>
        <v>440</v>
      </c>
      <c r="M9" s="19" t="n">
        <f aca="false">SUMPRODUCT((Maos_por_spot!$D$5:$D$173&lt;0.3)*C5:C173)</f>
        <v>526</v>
      </c>
    </row>
    <row r="10" customFormat="false" ht="15" hidden="false" customHeight="true" outlineLevel="0" collapsed="false">
      <c r="A10" s="5" t="s">
        <v>91</v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K10" s="9" t="s">
        <v>271</v>
      </c>
      <c r="L10" s="7" t="n">
        <f aca="false">(L7+L8)/L6</f>
        <v>0.0222222222222222</v>
      </c>
      <c r="M10" s="7" t="n">
        <f aca="false">(M7+M8)/M6</f>
        <v>0.0131332082551595</v>
      </c>
    </row>
    <row r="11" customFormat="false" ht="15" hidden="false" customHeight="true" outlineLevel="0" collapsed="false">
      <c r="A11" s="5" t="s">
        <v>92</v>
      </c>
      <c r="B11" s="16" t="n">
        <v>0</v>
      </c>
      <c r="C11" s="16" t="n">
        <v>1</v>
      </c>
      <c r="D11" s="16" t="n">
        <v>1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</row>
    <row r="12" customFormat="false" ht="15" hidden="false" customHeight="true" outlineLevel="0" collapsed="false">
      <c r="A12" s="5" t="s">
        <v>93</v>
      </c>
      <c r="B12" s="16" t="n">
        <v>1</v>
      </c>
      <c r="C12" s="16" t="n">
        <v>0</v>
      </c>
      <c r="D12" s="16" t="n">
        <v>0</v>
      </c>
      <c r="E12" s="16" t="n">
        <v>1</v>
      </c>
      <c r="F12" s="16" t="n">
        <v>0</v>
      </c>
      <c r="G12" s="16" t="n">
        <v>0</v>
      </c>
      <c r="H12" s="16" t="n">
        <v>1</v>
      </c>
      <c r="I12" s="16" t="n">
        <v>0</v>
      </c>
      <c r="K12" s="10" t="s">
        <v>272</v>
      </c>
    </row>
    <row r="13" customFormat="false" ht="15" hidden="false" customHeight="true" outlineLevel="0" collapsed="false">
      <c r="A13" s="5" t="s">
        <v>94</v>
      </c>
      <c r="B13" s="16" t="n">
        <v>0</v>
      </c>
      <c r="C13" s="16" t="n">
        <v>0</v>
      </c>
      <c r="D13" s="16" t="n">
        <v>0</v>
      </c>
      <c r="E13" s="16" t="n">
        <v>2</v>
      </c>
      <c r="F13" s="16" t="n">
        <v>0</v>
      </c>
      <c r="G13" s="16" t="n">
        <v>0</v>
      </c>
      <c r="H13" s="16" t="n">
        <v>0</v>
      </c>
      <c r="I13" s="16" t="n">
        <v>0</v>
      </c>
      <c r="K13" s="18"/>
      <c r="L13" s="18" t="s">
        <v>28</v>
      </c>
      <c r="M13" s="18" t="s">
        <v>29</v>
      </c>
    </row>
    <row r="14" customFormat="false" ht="15" hidden="false" customHeight="true" outlineLevel="0" collapsed="false">
      <c r="A14" s="5" t="s">
        <v>95</v>
      </c>
      <c r="B14" s="16" t="n">
        <v>1</v>
      </c>
      <c r="C14" s="16" t="n">
        <v>1</v>
      </c>
      <c r="D14" s="16" t="n">
        <v>0</v>
      </c>
      <c r="E14" s="16" t="n">
        <v>2</v>
      </c>
      <c r="F14" s="16" t="n">
        <v>0</v>
      </c>
      <c r="G14" s="16" t="n">
        <v>1</v>
      </c>
      <c r="H14" s="16" t="n">
        <v>0</v>
      </c>
      <c r="I14" s="16" t="n">
        <v>0</v>
      </c>
      <c r="K14" s="9" t="s">
        <v>267</v>
      </c>
      <c r="L14" s="19" t="n">
        <f aca="false">SUM(D5:D173)</f>
        <v>619</v>
      </c>
      <c r="M14" s="19" t="n">
        <f aca="false">SUM(E5:E173)</f>
        <v>644</v>
      </c>
    </row>
    <row r="15" customFormat="false" ht="15" hidden="false" customHeight="true" outlineLevel="0" collapsed="false">
      <c r="A15" s="5" t="s">
        <v>96</v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0</v>
      </c>
      <c r="H15" s="16" t="n">
        <v>0</v>
      </c>
      <c r="I15" s="16" t="n">
        <v>0</v>
      </c>
      <c r="K15" s="9" t="s">
        <v>268</v>
      </c>
      <c r="L15" s="19" t="n">
        <f aca="false">SUMPRODUCT((Maos_por_spot!$H$5:$H$173&gt;=0.8)*D5:D173)</f>
        <v>5</v>
      </c>
      <c r="M15" s="19" t="n">
        <f aca="false">SUMPRODUCT((Maos_por_spot!$H$5:$H$173&gt;=0.8)*E5:E173)</f>
        <v>19</v>
      </c>
    </row>
    <row r="16" customFormat="false" ht="15" hidden="false" customHeight="true" outlineLevel="0" collapsed="false">
      <c r="A16" s="5" t="s">
        <v>97</v>
      </c>
      <c r="B16" s="16" t="n">
        <v>0</v>
      </c>
      <c r="C16" s="16" t="n">
        <v>3</v>
      </c>
      <c r="D16" s="16" t="n">
        <v>4</v>
      </c>
      <c r="E16" s="16" t="n">
        <v>1</v>
      </c>
      <c r="F16" s="16" t="n">
        <v>0</v>
      </c>
      <c r="G16" s="16" t="n">
        <v>1</v>
      </c>
      <c r="H16" s="16" t="n">
        <v>0</v>
      </c>
      <c r="I16" s="16" t="n">
        <v>1</v>
      </c>
      <c r="K16" s="9" t="s">
        <v>269</v>
      </c>
      <c r="L16" s="19" t="n">
        <f aca="false">SUMPRODUCT((Maos_por_spot!$H$5:$H$173&gt;=0.3)*(Maos_por_spot!$H$5:$H$173&lt;0.8)*D5:D173)</f>
        <v>11</v>
      </c>
      <c r="M16" s="19" t="n">
        <f aca="false">SUMPRODUCT((Maos_por_spot!$H$5:$H$173&gt;=0.3)*(Maos_por_spot!$H$5:$H$173&lt;0.8)*E5:E173)</f>
        <v>12</v>
      </c>
    </row>
    <row r="17" customFormat="false" ht="15" hidden="false" customHeight="true" outlineLevel="0" collapsed="false">
      <c r="A17" s="5" t="s">
        <v>98</v>
      </c>
      <c r="B17" s="16" t="n">
        <v>2</v>
      </c>
      <c r="C17" s="16" t="n">
        <v>2</v>
      </c>
      <c r="D17" s="16" t="n">
        <v>4</v>
      </c>
      <c r="E17" s="16" t="n">
        <v>0</v>
      </c>
      <c r="F17" s="16" t="n">
        <v>1</v>
      </c>
      <c r="G17" s="16" t="n">
        <v>2</v>
      </c>
      <c r="H17" s="16" t="n">
        <v>0</v>
      </c>
      <c r="I17" s="16" t="n">
        <v>1</v>
      </c>
      <c r="K17" s="9" t="s">
        <v>270</v>
      </c>
      <c r="L17" s="19" t="n">
        <f aca="false">SUMPRODUCT((Maos_por_spot!$H$5:$H$173&lt;0.3)*D5:D173)</f>
        <v>603</v>
      </c>
      <c r="M17" s="19" t="n">
        <f aca="false">SUMPRODUCT((Maos_por_spot!$H$5:$H$173&lt;0.3)*E5:E173)</f>
        <v>613</v>
      </c>
    </row>
    <row r="18" customFormat="false" ht="15" hidden="false" customHeight="true" outlineLevel="0" collapsed="false">
      <c r="A18" s="5" t="s">
        <v>99</v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1</v>
      </c>
      <c r="K18" s="9" t="s">
        <v>271</v>
      </c>
      <c r="L18" s="7" t="n">
        <f aca="false">(L15+L16)/L14</f>
        <v>0.0258481421647819</v>
      </c>
      <c r="M18" s="7" t="n">
        <f aca="false">(M15+M16)/M14</f>
        <v>0.0481366459627329</v>
      </c>
    </row>
    <row r="19" customFormat="false" ht="15" hidden="false" customHeight="true" outlineLevel="0" collapsed="false">
      <c r="A19" s="5" t="s">
        <v>100</v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</row>
    <row r="20" customFormat="false" ht="15" hidden="false" customHeight="true" outlineLevel="0" collapsed="false">
      <c r="A20" s="5" t="s">
        <v>101</v>
      </c>
      <c r="B20" s="16" t="n">
        <v>0</v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K20" s="10" t="s">
        <v>273</v>
      </c>
    </row>
    <row r="21" customFormat="false" ht="15" hidden="false" customHeight="true" outlineLevel="0" collapsed="false">
      <c r="A21" s="5" t="s">
        <v>102</v>
      </c>
      <c r="B21" s="16" t="n">
        <v>0</v>
      </c>
      <c r="C21" s="16" t="n">
        <v>0</v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K21" s="18"/>
      <c r="L21" s="18" t="s">
        <v>28</v>
      </c>
      <c r="M21" s="18" t="s">
        <v>29</v>
      </c>
    </row>
    <row r="22" customFormat="false" ht="15" hidden="false" customHeight="true" outlineLevel="0" collapsed="false">
      <c r="A22" s="5" t="s">
        <v>103</v>
      </c>
      <c r="B22" s="16" t="n">
        <v>0</v>
      </c>
      <c r="C22" s="16" t="n">
        <v>0</v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K22" s="9" t="s">
        <v>267</v>
      </c>
      <c r="L22" s="19" t="n">
        <f aca="false">SUM(F5:F173)</f>
        <v>680</v>
      </c>
      <c r="M22" s="19" t="n">
        <f aca="false">SUM(G5:G173)</f>
        <v>712</v>
      </c>
    </row>
    <row r="23" customFormat="false" ht="15" hidden="false" customHeight="true" outlineLevel="0" collapsed="false">
      <c r="A23" s="5" t="s">
        <v>104</v>
      </c>
      <c r="B23" s="16" t="n">
        <v>0</v>
      </c>
      <c r="C23" s="16" t="n">
        <v>0</v>
      </c>
      <c r="D23" s="16" t="n">
        <v>0</v>
      </c>
      <c r="E23" s="16" t="n">
        <v>1</v>
      </c>
      <c r="F23" s="16" t="n">
        <v>0</v>
      </c>
      <c r="G23" s="16" t="n">
        <v>1</v>
      </c>
      <c r="H23" s="16" t="n">
        <v>0</v>
      </c>
      <c r="I23" s="16" t="n">
        <v>1</v>
      </c>
      <c r="K23" s="9" t="s">
        <v>268</v>
      </c>
      <c r="L23" s="19" t="n">
        <f aca="false">SUMPRODUCT((Maos_por_spot!$L$5:$L$173&gt;=0.8)*F5:F173)</f>
        <v>37</v>
      </c>
      <c r="M23" s="19" t="n">
        <f aca="false">SUMPRODUCT((Maos_por_spot!$L$5:$L$173&gt;=0.8)*G5:G173)</f>
        <v>49</v>
      </c>
    </row>
    <row r="24" customFormat="false" ht="15" hidden="false" customHeight="true" outlineLevel="0" collapsed="false">
      <c r="A24" s="5" t="s">
        <v>105</v>
      </c>
      <c r="B24" s="16" t="n">
        <v>0</v>
      </c>
      <c r="C24" s="16" t="n">
        <v>1</v>
      </c>
      <c r="D24" s="16" t="n">
        <v>3</v>
      </c>
      <c r="E24" s="16" t="n">
        <v>3</v>
      </c>
      <c r="F24" s="16" t="n">
        <v>2</v>
      </c>
      <c r="G24" s="16" t="n">
        <v>0</v>
      </c>
      <c r="H24" s="16" t="n">
        <v>0</v>
      </c>
      <c r="I24" s="16" t="n">
        <v>1</v>
      </c>
      <c r="K24" s="9" t="s">
        <v>269</v>
      </c>
      <c r="L24" s="19" t="n">
        <f aca="false">SUMPRODUCT((Maos_por_spot!$L$5:$L$173&gt;=0.3)*(Maos_por_spot!$L$5:$L$173&lt;0.8)*F5:F173)</f>
        <v>20</v>
      </c>
      <c r="M24" s="19" t="n">
        <f aca="false">SUMPRODUCT((Maos_por_spot!$L$5:$L$173&gt;=0.3)*(Maos_por_spot!$L$5:$L$173&lt;0.8)*G5:G173)</f>
        <v>19</v>
      </c>
    </row>
    <row r="25" customFormat="false" ht="15" hidden="false" customHeight="true" outlineLevel="0" collapsed="false">
      <c r="A25" s="5" t="s">
        <v>106</v>
      </c>
      <c r="B25" s="16" t="n">
        <v>3</v>
      </c>
      <c r="C25" s="16" t="n">
        <v>1</v>
      </c>
      <c r="D25" s="16" t="n">
        <v>2</v>
      </c>
      <c r="E25" s="16" t="n">
        <v>0</v>
      </c>
      <c r="F25" s="16" t="n">
        <v>3</v>
      </c>
      <c r="G25" s="16" t="n">
        <v>1</v>
      </c>
      <c r="H25" s="16" t="n">
        <v>1</v>
      </c>
      <c r="I25" s="16" t="n">
        <v>0</v>
      </c>
      <c r="K25" s="9" t="s">
        <v>270</v>
      </c>
      <c r="L25" s="19" t="n">
        <f aca="false">SUMPRODUCT((Maos_por_spot!$L$5:$L$173&lt;0.3)*F5:F173)</f>
        <v>623</v>
      </c>
      <c r="M25" s="19" t="n">
        <f aca="false">SUMPRODUCT((Maos_por_spot!$L$5:$L$173&lt;0.3)*G5:G173)</f>
        <v>644</v>
      </c>
    </row>
    <row r="26" customFormat="false" ht="15" hidden="false" customHeight="true" outlineLevel="0" collapsed="false">
      <c r="A26" s="5" t="s">
        <v>107</v>
      </c>
      <c r="B26" s="16" t="n">
        <v>2</v>
      </c>
      <c r="C26" s="16" t="n">
        <v>3</v>
      </c>
      <c r="D26" s="16" t="n">
        <v>4</v>
      </c>
      <c r="E26" s="16" t="n">
        <v>3</v>
      </c>
      <c r="F26" s="16" t="n">
        <v>2</v>
      </c>
      <c r="G26" s="16" t="n">
        <v>3</v>
      </c>
      <c r="H26" s="16" t="n">
        <v>1</v>
      </c>
      <c r="I26" s="16" t="n">
        <v>2</v>
      </c>
      <c r="K26" s="9" t="s">
        <v>271</v>
      </c>
      <c r="L26" s="7" t="n">
        <f aca="false">(L23+L24)/L22</f>
        <v>0.0838235294117647</v>
      </c>
      <c r="M26" s="7" t="n">
        <f aca="false">(M23+M24)/M22</f>
        <v>0.0955056179775281</v>
      </c>
    </row>
    <row r="27" customFormat="false" ht="15" hidden="false" customHeight="true" outlineLevel="0" collapsed="false">
      <c r="A27" s="5" t="s">
        <v>108</v>
      </c>
      <c r="B27" s="16" t="n">
        <v>1</v>
      </c>
      <c r="C27" s="16" t="n">
        <v>5</v>
      </c>
      <c r="D27" s="16" t="n">
        <v>1</v>
      </c>
      <c r="E27" s="16" t="n">
        <v>2</v>
      </c>
      <c r="F27" s="16" t="n">
        <v>2</v>
      </c>
      <c r="G27" s="16" t="n">
        <v>1</v>
      </c>
      <c r="H27" s="16" t="n">
        <v>1</v>
      </c>
      <c r="I27" s="16" t="n">
        <v>4</v>
      </c>
    </row>
    <row r="28" customFormat="false" ht="15" hidden="false" customHeight="true" outlineLevel="0" collapsed="false">
      <c r="A28" s="5" t="s">
        <v>109</v>
      </c>
      <c r="B28" s="16" t="n">
        <v>4</v>
      </c>
      <c r="C28" s="16" t="n">
        <v>2</v>
      </c>
      <c r="D28" s="16" t="n">
        <v>1</v>
      </c>
      <c r="E28" s="16" t="n">
        <v>2</v>
      </c>
      <c r="F28" s="16" t="n">
        <v>3</v>
      </c>
      <c r="G28" s="16" t="n">
        <v>0</v>
      </c>
      <c r="H28" s="16" t="n">
        <v>4</v>
      </c>
      <c r="I28" s="16" t="n">
        <v>1</v>
      </c>
      <c r="K28" s="10" t="s">
        <v>274</v>
      </c>
    </row>
    <row r="29" customFormat="false" ht="15" hidden="false" customHeight="true" outlineLevel="0" collapsed="false">
      <c r="A29" s="5" t="s">
        <v>110</v>
      </c>
      <c r="B29" s="16" t="n">
        <v>4</v>
      </c>
      <c r="C29" s="16" t="n">
        <v>1</v>
      </c>
      <c r="D29" s="16" t="n">
        <v>1</v>
      </c>
      <c r="E29" s="16" t="n">
        <v>3</v>
      </c>
      <c r="F29" s="16" t="n">
        <v>4</v>
      </c>
      <c r="G29" s="16" t="n">
        <v>3</v>
      </c>
      <c r="H29" s="16" t="n">
        <v>2</v>
      </c>
      <c r="I29" s="16" t="n">
        <v>1</v>
      </c>
      <c r="K29" s="18"/>
      <c r="L29" s="18" t="s">
        <v>28</v>
      </c>
      <c r="M29" s="18" t="s">
        <v>29</v>
      </c>
    </row>
    <row r="30" customFormat="false" ht="15" hidden="false" customHeight="true" outlineLevel="0" collapsed="false">
      <c r="A30" s="5" t="s">
        <v>111</v>
      </c>
      <c r="B30" s="16" t="n">
        <v>0</v>
      </c>
      <c r="C30" s="16" t="n">
        <v>0</v>
      </c>
      <c r="D30" s="16" t="n">
        <v>3</v>
      </c>
      <c r="E30" s="16" t="n">
        <v>1</v>
      </c>
      <c r="F30" s="16" t="n">
        <v>3</v>
      </c>
      <c r="G30" s="16" t="n">
        <v>2</v>
      </c>
      <c r="H30" s="16" t="n">
        <v>5</v>
      </c>
      <c r="I30" s="16" t="n">
        <v>3</v>
      </c>
      <c r="K30" s="9" t="s">
        <v>267</v>
      </c>
      <c r="L30" s="19" t="n">
        <f aca="false">SUM(H5:H173)</f>
        <v>630</v>
      </c>
      <c r="M30" s="19" t="n">
        <f aca="false">SUM(I5:I173)</f>
        <v>726</v>
      </c>
    </row>
    <row r="31" customFormat="false" ht="15" hidden="false" customHeight="true" outlineLevel="0" collapsed="false">
      <c r="A31" s="5" t="s">
        <v>112</v>
      </c>
      <c r="B31" s="16" t="n">
        <v>0</v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K31" s="9" t="s">
        <v>268</v>
      </c>
      <c r="L31" s="19" t="n">
        <f aca="false">SUMPRODUCT((Maos_por_spot!$P$5:$P$173&gt;=0.8)*H5:H173)</f>
        <v>44</v>
      </c>
      <c r="M31" s="19" t="n">
        <f aca="false">SUMPRODUCT((Maos_por_spot!$P$5:$P$173&gt;=0.8)*I5:I173)</f>
        <v>69</v>
      </c>
    </row>
    <row r="32" customFormat="false" ht="15" hidden="false" customHeight="true" outlineLevel="0" collapsed="false">
      <c r="A32" s="5" t="s">
        <v>113</v>
      </c>
      <c r="B32" s="16" t="n">
        <v>2</v>
      </c>
      <c r="C32" s="16" t="n">
        <v>1</v>
      </c>
      <c r="D32" s="16" t="n">
        <v>0</v>
      </c>
      <c r="E32" s="16" t="n">
        <v>2</v>
      </c>
      <c r="F32" s="16" t="n">
        <v>0</v>
      </c>
      <c r="G32" s="16" t="n">
        <v>0</v>
      </c>
      <c r="H32" s="16" t="n">
        <v>0</v>
      </c>
      <c r="I32" s="16" t="n">
        <v>1</v>
      </c>
      <c r="K32" s="9" t="s">
        <v>269</v>
      </c>
      <c r="L32" s="19" t="n">
        <f aca="false">SUMPRODUCT((Maos_por_spot!$P$5:$P$173&gt;=0.3)*(Maos_por_spot!$P$5:$P$173&lt;0.8)*H5:H173)</f>
        <v>12</v>
      </c>
      <c r="M32" s="19" t="n">
        <f aca="false">SUMPRODUCT((Maos_por_spot!$P$5:$P$173&gt;=0.3)*(Maos_por_spot!$P$5:$P$173&lt;0.8)*I5:I173)</f>
        <v>13</v>
      </c>
    </row>
    <row r="33" customFormat="false" ht="15" hidden="false" customHeight="true" outlineLevel="0" collapsed="false">
      <c r="A33" s="5" t="s">
        <v>114</v>
      </c>
      <c r="B33" s="16" t="n">
        <v>0</v>
      </c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K33" s="9" t="s">
        <v>270</v>
      </c>
      <c r="L33" s="19" t="n">
        <f aca="false">SUMPRODUCT((Maos_por_spot!$P$5:$P$173&lt;0.3)*H5:H173)</f>
        <v>574</v>
      </c>
      <c r="M33" s="19" t="n">
        <f aca="false">SUMPRODUCT((Maos_por_spot!$P$5:$P$173&lt;0.3)*I5:I173)</f>
        <v>644</v>
      </c>
    </row>
    <row r="34" customFormat="false" ht="15" hidden="false" customHeight="true" outlineLevel="0" collapsed="false">
      <c r="A34" s="5" t="s">
        <v>115</v>
      </c>
      <c r="B34" s="16" t="n">
        <v>1</v>
      </c>
      <c r="C34" s="16" t="n">
        <v>1</v>
      </c>
      <c r="D34" s="16" t="n">
        <v>1</v>
      </c>
      <c r="E34" s="16" t="n">
        <v>0</v>
      </c>
      <c r="F34" s="16" t="n">
        <v>0</v>
      </c>
      <c r="G34" s="16" t="n">
        <v>0</v>
      </c>
      <c r="H34" s="16" t="n">
        <v>0</v>
      </c>
      <c r="I34" s="16" t="n">
        <v>0</v>
      </c>
      <c r="K34" s="9" t="s">
        <v>271</v>
      </c>
      <c r="L34" s="7" t="n">
        <f aca="false">(L31+L32)/L30</f>
        <v>0.0888888888888889</v>
      </c>
      <c r="M34" s="7" t="n">
        <f aca="false">(M31+M32)/M30</f>
        <v>0.112947658402204</v>
      </c>
    </row>
    <row r="35" customFormat="false" ht="15" hidden="false" customHeight="true" outlineLevel="0" collapsed="false">
      <c r="A35" s="5" t="s">
        <v>116</v>
      </c>
      <c r="B35" s="16" t="n">
        <v>0</v>
      </c>
      <c r="C35" s="16" t="n">
        <v>0</v>
      </c>
      <c r="D35" s="16" t="n">
        <v>0</v>
      </c>
      <c r="E35" s="16" t="n">
        <v>1</v>
      </c>
      <c r="F35" s="16" t="n">
        <v>0</v>
      </c>
      <c r="G35" s="16" t="n">
        <v>1</v>
      </c>
      <c r="H35" s="16" t="n">
        <v>0</v>
      </c>
      <c r="I35" s="16" t="n">
        <v>1</v>
      </c>
    </row>
    <row r="36" customFormat="false" ht="15" hidden="false" customHeight="true" outlineLevel="0" collapsed="false">
      <c r="A36" s="5" t="s">
        <v>117</v>
      </c>
      <c r="B36" s="16" t="n">
        <v>0</v>
      </c>
      <c r="C36" s="16" t="n">
        <v>2</v>
      </c>
      <c r="D36" s="16" t="n">
        <v>0</v>
      </c>
      <c r="E36" s="16" t="n">
        <v>0</v>
      </c>
      <c r="F36" s="16" t="n">
        <v>1</v>
      </c>
      <c r="G36" s="16" t="n">
        <v>0</v>
      </c>
      <c r="H36" s="16" t="n">
        <v>0</v>
      </c>
      <c r="I36" s="16" t="n">
        <v>0</v>
      </c>
    </row>
    <row r="37" customFormat="false" ht="15" hidden="false" customHeight="true" outlineLevel="0" collapsed="false">
      <c r="A37" s="5" t="s">
        <v>118</v>
      </c>
      <c r="B37" s="16" t="n">
        <v>2</v>
      </c>
      <c r="C37" s="16" t="n">
        <v>0</v>
      </c>
      <c r="D37" s="16" t="n">
        <v>2</v>
      </c>
      <c r="E37" s="16" t="n">
        <v>2</v>
      </c>
      <c r="F37" s="16" t="n">
        <v>3</v>
      </c>
      <c r="G37" s="16" t="n">
        <v>4</v>
      </c>
      <c r="H37" s="16" t="n">
        <v>1</v>
      </c>
      <c r="I37" s="16" t="n">
        <v>1</v>
      </c>
    </row>
    <row r="38" customFormat="false" ht="15" hidden="false" customHeight="true" outlineLevel="0" collapsed="false">
      <c r="A38" s="5" t="s">
        <v>119</v>
      </c>
      <c r="B38" s="16" t="n">
        <v>5</v>
      </c>
      <c r="C38" s="16" t="n">
        <v>2</v>
      </c>
      <c r="D38" s="16" t="n">
        <v>0</v>
      </c>
      <c r="E38" s="16" t="n">
        <v>2</v>
      </c>
      <c r="F38" s="16" t="n">
        <v>1</v>
      </c>
      <c r="G38" s="16" t="n">
        <v>5</v>
      </c>
      <c r="H38" s="16" t="n">
        <v>1</v>
      </c>
      <c r="I38" s="16" t="n">
        <v>5</v>
      </c>
    </row>
    <row r="39" customFormat="false" ht="15" hidden="false" customHeight="true" outlineLevel="0" collapsed="false">
      <c r="A39" s="5" t="s">
        <v>120</v>
      </c>
      <c r="B39" s="16" t="n">
        <v>2</v>
      </c>
      <c r="C39" s="16" t="n">
        <v>1</v>
      </c>
      <c r="D39" s="16" t="n">
        <v>4</v>
      </c>
      <c r="E39" s="16" t="n">
        <v>2</v>
      </c>
      <c r="F39" s="16" t="n">
        <v>0</v>
      </c>
      <c r="G39" s="16" t="n">
        <v>1</v>
      </c>
      <c r="H39" s="16" t="n">
        <v>2</v>
      </c>
      <c r="I39" s="16" t="n">
        <v>1</v>
      </c>
    </row>
    <row r="40" customFormat="false" ht="15" hidden="false" customHeight="true" outlineLevel="0" collapsed="false">
      <c r="A40" s="5" t="s">
        <v>121</v>
      </c>
      <c r="B40" s="16" t="n">
        <v>5</v>
      </c>
      <c r="C40" s="16" t="n">
        <v>2</v>
      </c>
      <c r="D40" s="16" t="n">
        <v>1</v>
      </c>
      <c r="E40" s="16" t="n">
        <v>1</v>
      </c>
      <c r="F40" s="16" t="n">
        <v>1</v>
      </c>
      <c r="G40" s="16" t="n">
        <v>1</v>
      </c>
      <c r="H40" s="16" t="n">
        <v>1</v>
      </c>
      <c r="I40" s="16" t="n">
        <v>3</v>
      </c>
    </row>
    <row r="41" customFormat="false" ht="15" hidden="false" customHeight="true" outlineLevel="0" collapsed="false">
      <c r="A41" s="5" t="s">
        <v>122</v>
      </c>
      <c r="B41" s="16" t="n">
        <v>2</v>
      </c>
      <c r="C41" s="16" t="n">
        <v>0</v>
      </c>
      <c r="D41" s="16" t="n">
        <v>2</v>
      </c>
      <c r="E41" s="16" t="n">
        <v>2</v>
      </c>
      <c r="F41" s="16" t="n">
        <v>2</v>
      </c>
      <c r="G41" s="16" t="n">
        <v>6</v>
      </c>
      <c r="H41" s="16" t="n">
        <v>5</v>
      </c>
      <c r="I41" s="16" t="n">
        <v>5</v>
      </c>
    </row>
    <row r="42" customFormat="false" ht="15" hidden="false" customHeight="true" outlineLevel="0" collapsed="false">
      <c r="A42" s="5" t="s">
        <v>123</v>
      </c>
      <c r="B42" s="16" t="n">
        <v>1</v>
      </c>
      <c r="C42" s="16" t="n">
        <v>2</v>
      </c>
      <c r="D42" s="16" t="n">
        <v>1</v>
      </c>
      <c r="E42" s="16" t="n">
        <v>3</v>
      </c>
      <c r="F42" s="16" t="n">
        <v>1</v>
      </c>
      <c r="G42" s="16" t="n">
        <v>4</v>
      </c>
      <c r="H42" s="16" t="n">
        <v>4</v>
      </c>
      <c r="I42" s="16" t="n">
        <v>1</v>
      </c>
    </row>
    <row r="43" customFormat="false" ht="15" hidden="false" customHeight="true" outlineLevel="0" collapsed="false">
      <c r="A43" s="5" t="s">
        <v>124</v>
      </c>
      <c r="B43" s="16" t="n">
        <v>2</v>
      </c>
      <c r="C43" s="16" t="n">
        <v>1</v>
      </c>
      <c r="D43" s="16" t="n">
        <v>3</v>
      </c>
      <c r="E43" s="16" t="n">
        <v>2</v>
      </c>
      <c r="F43" s="16" t="n">
        <v>3</v>
      </c>
      <c r="G43" s="16" t="n">
        <v>2</v>
      </c>
      <c r="H43" s="16" t="n">
        <v>5</v>
      </c>
      <c r="I43" s="16" t="n">
        <v>1</v>
      </c>
    </row>
    <row r="44" customFormat="false" ht="15" hidden="false" customHeight="true" outlineLevel="0" collapsed="false">
      <c r="A44" s="5" t="s">
        <v>125</v>
      </c>
      <c r="B44" s="16" t="n">
        <v>0</v>
      </c>
      <c r="C44" s="16" t="n">
        <v>0</v>
      </c>
      <c r="D44" s="16" t="n">
        <v>0</v>
      </c>
      <c r="E44" s="16" t="n">
        <v>0</v>
      </c>
      <c r="F44" s="16" t="n">
        <v>0</v>
      </c>
      <c r="G44" s="16" t="n">
        <v>0</v>
      </c>
      <c r="H44" s="16" t="n">
        <v>0</v>
      </c>
      <c r="I44" s="16" t="n">
        <v>0</v>
      </c>
    </row>
    <row r="45" customFormat="false" ht="15" hidden="false" customHeight="true" outlineLevel="0" collapsed="false">
      <c r="A45" s="5" t="s">
        <v>126</v>
      </c>
      <c r="B45" s="16" t="n">
        <v>4</v>
      </c>
      <c r="C45" s="16" t="n">
        <v>4</v>
      </c>
      <c r="D45" s="16" t="n">
        <v>2</v>
      </c>
      <c r="E45" s="16" t="n">
        <v>3</v>
      </c>
      <c r="F45" s="16" t="n">
        <v>2</v>
      </c>
      <c r="G45" s="16" t="n">
        <v>2</v>
      </c>
      <c r="H45" s="16" t="n">
        <v>0</v>
      </c>
      <c r="I45" s="16" t="n">
        <v>1</v>
      </c>
    </row>
    <row r="46" customFormat="false" ht="15" hidden="false" customHeight="true" outlineLevel="0" collapsed="false">
      <c r="A46" s="5" t="s">
        <v>127</v>
      </c>
      <c r="B46" s="16" t="n">
        <v>7</v>
      </c>
      <c r="C46" s="16" t="n">
        <v>6</v>
      </c>
      <c r="D46" s="16" t="n">
        <v>6</v>
      </c>
      <c r="E46" s="16" t="n">
        <v>6</v>
      </c>
      <c r="F46" s="16" t="n">
        <v>3</v>
      </c>
      <c r="G46" s="16" t="n">
        <v>5</v>
      </c>
      <c r="H46" s="16" t="n">
        <v>1</v>
      </c>
      <c r="I46" s="16" t="n">
        <v>2</v>
      </c>
    </row>
    <row r="47" customFormat="false" ht="15" hidden="false" customHeight="true" outlineLevel="0" collapsed="false">
      <c r="A47" s="5" t="s">
        <v>128</v>
      </c>
      <c r="B47" s="16" t="n">
        <v>1</v>
      </c>
      <c r="C47" s="16" t="n">
        <v>0</v>
      </c>
      <c r="D47" s="16" t="n">
        <v>0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</row>
    <row r="48" customFormat="false" ht="15" hidden="false" customHeight="true" outlineLevel="0" collapsed="false">
      <c r="A48" s="5" t="s">
        <v>129</v>
      </c>
      <c r="B48" s="16" t="n">
        <v>0</v>
      </c>
      <c r="C48" s="16" t="n">
        <v>0</v>
      </c>
      <c r="D48" s="16" t="n">
        <v>0</v>
      </c>
      <c r="E48" s="16" t="n">
        <v>3</v>
      </c>
      <c r="F48" s="16" t="n">
        <v>0</v>
      </c>
      <c r="G48" s="16" t="n">
        <v>0</v>
      </c>
      <c r="H48" s="16" t="n">
        <v>0</v>
      </c>
      <c r="I48" s="16" t="n">
        <v>0</v>
      </c>
    </row>
    <row r="49" customFormat="false" ht="15" hidden="false" customHeight="true" outlineLevel="0" collapsed="false">
      <c r="A49" s="5" t="s">
        <v>130</v>
      </c>
      <c r="B49" s="16" t="n">
        <v>0</v>
      </c>
      <c r="C49" s="16" t="n">
        <v>2</v>
      </c>
      <c r="D49" s="16" t="n">
        <v>2</v>
      </c>
      <c r="E49" s="16" t="n">
        <v>1</v>
      </c>
      <c r="F49" s="16" t="n">
        <v>0</v>
      </c>
      <c r="G49" s="16" t="n">
        <v>1</v>
      </c>
      <c r="H49" s="16" t="n">
        <v>0</v>
      </c>
      <c r="I49" s="16" t="n">
        <v>0</v>
      </c>
    </row>
    <row r="50" customFormat="false" ht="15" hidden="false" customHeight="true" outlineLevel="0" collapsed="false">
      <c r="A50" s="5" t="s">
        <v>131</v>
      </c>
      <c r="B50" s="16" t="n">
        <v>3</v>
      </c>
      <c r="C50" s="16" t="n">
        <v>2</v>
      </c>
      <c r="D50" s="16" t="n">
        <v>2</v>
      </c>
      <c r="E50" s="16" t="n">
        <v>0</v>
      </c>
      <c r="F50" s="16" t="n">
        <v>1</v>
      </c>
      <c r="G50" s="16" t="n">
        <v>1</v>
      </c>
      <c r="H50" s="16" t="n">
        <v>1</v>
      </c>
      <c r="I50" s="16" t="n">
        <v>1</v>
      </c>
    </row>
    <row r="51" customFormat="false" ht="15" hidden="false" customHeight="true" outlineLevel="0" collapsed="false">
      <c r="A51" s="5" t="s">
        <v>132</v>
      </c>
      <c r="B51" s="16" t="n">
        <v>1</v>
      </c>
      <c r="C51" s="16" t="n">
        <v>0</v>
      </c>
      <c r="D51" s="16" t="n">
        <v>3</v>
      </c>
      <c r="E51" s="16" t="n">
        <v>3</v>
      </c>
      <c r="F51" s="16" t="n">
        <v>3</v>
      </c>
      <c r="G51" s="16" t="n">
        <v>2</v>
      </c>
      <c r="H51" s="16" t="n">
        <v>2</v>
      </c>
      <c r="I51" s="16" t="n">
        <v>4</v>
      </c>
    </row>
    <row r="52" customFormat="false" ht="15" hidden="false" customHeight="true" outlineLevel="0" collapsed="false">
      <c r="A52" s="5" t="s">
        <v>133</v>
      </c>
      <c r="B52" s="16" t="n">
        <v>1</v>
      </c>
      <c r="C52" s="16" t="n">
        <v>1</v>
      </c>
      <c r="D52" s="16" t="n">
        <v>0</v>
      </c>
      <c r="E52" s="16" t="n">
        <v>0</v>
      </c>
      <c r="F52" s="16" t="n">
        <v>2</v>
      </c>
      <c r="G52" s="16" t="n">
        <v>2</v>
      </c>
      <c r="H52" s="16" t="n">
        <v>2</v>
      </c>
      <c r="I52" s="16" t="n">
        <v>3</v>
      </c>
    </row>
    <row r="53" customFormat="false" ht="15" hidden="false" customHeight="true" outlineLevel="0" collapsed="false">
      <c r="A53" s="5" t="s">
        <v>134</v>
      </c>
      <c r="B53" s="16" t="n">
        <v>2</v>
      </c>
      <c r="C53" s="16" t="n">
        <v>4</v>
      </c>
      <c r="D53" s="16" t="n">
        <v>3</v>
      </c>
      <c r="E53" s="16" t="n">
        <v>2</v>
      </c>
      <c r="F53" s="16" t="n">
        <v>2</v>
      </c>
      <c r="G53" s="16" t="n">
        <v>6</v>
      </c>
      <c r="H53" s="16" t="n">
        <v>2</v>
      </c>
      <c r="I53" s="16" t="n">
        <v>3</v>
      </c>
    </row>
    <row r="54" customFormat="false" ht="15" hidden="false" customHeight="true" outlineLevel="0" collapsed="false">
      <c r="A54" s="5" t="s">
        <v>135</v>
      </c>
      <c r="B54" s="16" t="n">
        <v>3</v>
      </c>
      <c r="C54" s="16" t="n">
        <v>2</v>
      </c>
      <c r="D54" s="16" t="n">
        <v>2</v>
      </c>
      <c r="E54" s="16" t="n">
        <v>0</v>
      </c>
      <c r="F54" s="16" t="n">
        <v>4</v>
      </c>
      <c r="G54" s="16" t="n">
        <v>3</v>
      </c>
      <c r="H54" s="16" t="n">
        <v>2</v>
      </c>
      <c r="I54" s="16" t="n">
        <v>1</v>
      </c>
    </row>
    <row r="55" customFormat="false" ht="15" hidden="false" customHeight="true" outlineLevel="0" collapsed="false">
      <c r="A55" s="5" t="s">
        <v>136</v>
      </c>
      <c r="B55" s="16" t="n">
        <v>1</v>
      </c>
      <c r="C55" s="16" t="n">
        <v>4</v>
      </c>
      <c r="D55" s="16" t="n">
        <v>3</v>
      </c>
      <c r="E55" s="16" t="n">
        <v>5</v>
      </c>
      <c r="F55" s="16" t="n">
        <v>0</v>
      </c>
      <c r="G55" s="16" t="n">
        <v>5</v>
      </c>
      <c r="H55" s="16" t="n">
        <v>0</v>
      </c>
      <c r="I55" s="16" t="n">
        <v>3</v>
      </c>
    </row>
    <row r="56" customFormat="false" ht="15" hidden="false" customHeight="true" outlineLevel="0" collapsed="false">
      <c r="A56" s="5" t="s">
        <v>137</v>
      </c>
      <c r="B56" s="16" t="n">
        <v>1</v>
      </c>
      <c r="C56" s="16" t="n">
        <v>5</v>
      </c>
      <c r="D56" s="16" t="n">
        <v>3</v>
      </c>
      <c r="E56" s="16" t="n">
        <v>4</v>
      </c>
      <c r="F56" s="16" t="n">
        <v>2</v>
      </c>
      <c r="G56" s="16" t="n">
        <v>2</v>
      </c>
      <c r="H56" s="16" t="n">
        <v>1</v>
      </c>
      <c r="I56" s="16" t="n">
        <v>3</v>
      </c>
    </row>
    <row r="57" customFormat="false" ht="15" hidden="false" customHeight="true" outlineLevel="0" collapsed="false">
      <c r="A57" s="5" t="s">
        <v>138</v>
      </c>
      <c r="B57" s="16" t="n">
        <v>2</v>
      </c>
      <c r="C57" s="16" t="n">
        <v>2</v>
      </c>
      <c r="D57" s="16" t="n">
        <v>0</v>
      </c>
      <c r="E57" s="16" t="n">
        <v>2</v>
      </c>
      <c r="F57" s="16" t="n">
        <v>2</v>
      </c>
      <c r="G57" s="16" t="n">
        <v>0</v>
      </c>
      <c r="H57" s="16" t="n">
        <v>1</v>
      </c>
      <c r="I57" s="16" t="n">
        <v>2</v>
      </c>
    </row>
    <row r="58" customFormat="false" ht="15" hidden="false" customHeight="true" outlineLevel="0" collapsed="false">
      <c r="A58" s="5" t="s">
        <v>139</v>
      </c>
      <c r="B58" s="16" t="n">
        <v>6</v>
      </c>
      <c r="C58" s="16" t="n">
        <v>7</v>
      </c>
      <c r="D58" s="16" t="n">
        <v>5</v>
      </c>
      <c r="E58" s="16" t="n">
        <v>7</v>
      </c>
      <c r="F58" s="16" t="n">
        <v>1</v>
      </c>
      <c r="G58" s="16" t="n">
        <v>7</v>
      </c>
      <c r="H58" s="16" t="n">
        <v>5</v>
      </c>
      <c r="I58" s="16" t="n">
        <v>7</v>
      </c>
    </row>
    <row r="59" customFormat="false" ht="15" hidden="false" customHeight="true" outlineLevel="0" collapsed="false">
      <c r="A59" s="5" t="s">
        <v>140</v>
      </c>
      <c r="B59" s="16" t="n">
        <v>6</v>
      </c>
      <c r="C59" s="16" t="n">
        <v>4</v>
      </c>
      <c r="D59" s="16" t="n">
        <v>10</v>
      </c>
      <c r="E59" s="16" t="n">
        <v>8</v>
      </c>
      <c r="F59" s="16" t="n">
        <v>1</v>
      </c>
      <c r="G59" s="16" t="n">
        <v>2</v>
      </c>
      <c r="H59" s="16" t="n">
        <v>3</v>
      </c>
      <c r="I59" s="16" t="n">
        <v>4</v>
      </c>
    </row>
    <row r="60" customFormat="false" ht="15" hidden="false" customHeight="true" outlineLevel="0" collapsed="false">
      <c r="A60" s="5" t="s">
        <v>141</v>
      </c>
      <c r="B60" s="16" t="n">
        <v>2</v>
      </c>
      <c r="C60" s="16" t="n">
        <v>5</v>
      </c>
      <c r="D60" s="16" t="n">
        <v>10</v>
      </c>
      <c r="E60" s="16" t="n">
        <v>5</v>
      </c>
      <c r="F60" s="16" t="n">
        <v>7</v>
      </c>
      <c r="G60" s="16" t="n">
        <v>6</v>
      </c>
      <c r="H60" s="16" t="n">
        <v>4</v>
      </c>
      <c r="I60" s="16" t="n">
        <v>4</v>
      </c>
    </row>
    <row r="61" customFormat="false" ht="15" hidden="false" customHeight="true" outlineLevel="0" collapsed="false">
      <c r="A61" s="5" t="s">
        <v>142</v>
      </c>
      <c r="B61" s="16" t="n">
        <v>0</v>
      </c>
      <c r="C61" s="16" t="n">
        <v>0</v>
      </c>
      <c r="D61" s="16" t="n">
        <v>0</v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</row>
    <row r="62" customFormat="false" ht="15" hidden="false" customHeight="true" outlineLevel="0" collapsed="false">
      <c r="A62" s="5" t="s">
        <v>143</v>
      </c>
      <c r="B62" s="16" t="n">
        <v>1</v>
      </c>
      <c r="C62" s="16" t="n">
        <v>1</v>
      </c>
      <c r="D62" s="16" t="n">
        <v>0</v>
      </c>
      <c r="E62" s="16" t="n">
        <v>0</v>
      </c>
      <c r="F62" s="16" t="n">
        <v>0</v>
      </c>
      <c r="G62" s="16" t="n">
        <v>2</v>
      </c>
      <c r="H62" s="16" t="n">
        <v>0</v>
      </c>
      <c r="I62" s="16" t="n">
        <v>1</v>
      </c>
    </row>
    <row r="63" customFormat="false" ht="15" hidden="false" customHeight="true" outlineLevel="0" collapsed="false">
      <c r="A63" s="5" t="s">
        <v>144</v>
      </c>
      <c r="B63" s="16" t="n">
        <v>1</v>
      </c>
      <c r="C63" s="16" t="n">
        <v>4</v>
      </c>
      <c r="D63" s="16" t="n">
        <v>0</v>
      </c>
      <c r="E63" s="16" t="n">
        <v>3</v>
      </c>
      <c r="F63" s="16" t="n">
        <v>3</v>
      </c>
      <c r="G63" s="16" t="n">
        <v>3</v>
      </c>
      <c r="H63" s="16" t="n">
        <v>1</v>
      </c>
      <c r="I63" s="16" t="n">
        <v>3</v>
      </c>
    </row>
    <row r="64" customFormat="false" ht="15" hidden="false" customHeight="true" outlineLevel="0" collapsed="false">
      <c r="A64" s="5" t="s">
        <v>145</v>
      </c>
      <c r="B64" s="16" t="n">
        <v>1</v>
      </c>
      <c r="C64" s="16" t="n">
        <v>3</v>
      </c>
      <c r="D64" s="16" t="n">
        <v>2</v>
      </c>
      <c r="E64" s="16" t="n">
        <v>4</v>
      </c>
      <c r="F64" s="16" t="n">
        <v>0</v>
      </c>
      <c r="G64" s="16" t="n">
        <v>2</v>
      </c>
      <c r="H64" s="16" t="n">
        <v>2</v>
      </c>
      <c r="I64" s="16" t="n">
        <v>2</v>
      </c>
    </row>
    <row r="65" customFormat="false" ht="15" hidden="false" customHeight="true" outlineLevel="0" collapsed="false">
      <c r="A65" s="5" t="s">
        <v>146</v>
      </c>
      <c r="B65" s="16" t="n">
        <v>5</v>
      </c>
      <c r="C65" s="16" t="n">
        <v>9</v>
      </c>
      <c r="D65" s="16" t="n">
        <v>2</v>
      </c>
      <c r="E65" s="16" t="n">
        <v>3</v>
      </c>
      <c r="F65" s="16" t="n">
        <v>2</v>
      </c>
      <c r="G65" s="16" t="n">
        <v>2</v>
      </c>
      <c r="H65" s="16" t="n">
        <v>0</v>
      </c>
      <c r="I65" s="16" t="n">
        <v>3</v>
      </c>
    </row>
    <row r="66" customFormat="false" ht="15" hidden="false" customHeight="true" outlineLevel="0" collapsed="false">
      <c r="A66" s="5" t="s">
        <v>147</v>
      </c>
      <c r="B66" s="16" t="n">
        <v>5</v>
      </c>
      <c r="C66" s="16" t="n">
        <v>2</v>
      </c>
      <c r="D66" s="16" t="n">
        <v>0</v>
      </c>
      <c r="E66" s="16" t="n">
        <v>4</v>
      </c>
      <c r="F66" s="16" t="n">
        <v>3</v>
      </c>
      <c r="G66" s="16" t="n">
        <v>2</v>
      </c>
      <c r="H66" s="16" t="n">
        <v>0</v>
      </c>
      <c r="I66" s="16" t="n">
        <v>1</v>
      </c>
    </row>
    <row r="67" customFormat="false" ht="15" hidden="false" customHeight="true" outlineLevel="0" collapsed="false">
      <c r="A67" s="5" t="s">
        <v>148</v>
      </c>
      <c r="B67" s="16" t="n">
        <v>2</v>
      </c>
      <c r="C67" s="16" t="n">
        <v>2</v>
      </c>
      <c r="D67" s="16" t="n">
        <v>2</v>
      </c>
      <c r="E67" s="16" t="n">
        <v>5</v>
      </c>
      <c r="F67" s="16" t="n">
        <v>3</v>
      </c>
      <c r="G67" s="16" t="n">
        <v>4</v>
      </c>
      <c r="H67" s="16" t="n">
        <v>3</v>
      </c>
      <c r="I67" s="16" t="n">
        <v>3</v>
      </c>
    </row>
    <row r="68" customFormat="false" ht="15" hidden="false" customHeight="true" outlineLevel="0" collapsed="false">
      <c r="A68" s="5" t="s">
        <v>149</v>
      </c>
      <c r="B68" s="16" t="n">
        <v>2</v>
      </c>
      <c r="C68" s="16" t="n">
        <v>4</v>
      </c>
      <c r="D68" s="16" t="n">
        <v>1</v>
      </c>
      <c r="E68" s="16" t="n">
        <v>0</v>
      </c>
      <c r="F68" s="16" t="n">
        <v>1</v>
      </c>
      <c r="G68" s="16" t="n">
        <v>4</v>
      </c>
      <c r="H68" s="16" t="n">
        <v>2</v>
      </c>
      <c r="I68" s="16" t="n">
        <v>0</v>
      </c>
    </row>
    <row r="69" customFormat="false" ht="15" hidden="false" customHeight="true" outlineLevel="0" collapsed="false">
      <c r="A69" s="5" t="s">
        <v>150</v>
      </c>
      <c r="B69" s="16" t="n">
        <v>2</v>
      </c>
      <c r="C69" s="16" t="n">
        <v>0</v>
      </c>
      <c r="D69" s="16" t="n">
        <v>1</v>
      </c>
      <c r="E69" s="16" t="n">
        <v>3</v>
      </c>
      <c r="F69" s="16" t="n">
        <v>0</v>
      </c>
      <c r="G69" s="16" t="n">
        <v>2</v>
      </c>
      <c r="H69" s="16" t="n">
        <v>6</v>
      </c>
      <c r="I69" s="16" t="n">
        <v>3</v>
      </c>
    </row>
    <row r="70" customFormat="false" ht="15" hidden="false" customHeight="true" outlineLevel="0" collapsed="false">
      <c r="A70" s="5" t="s">
        <v>151</v>
      </c>
      <c r="B70" s="16" t="n">
        <v>3</v>
      </c>
      <c r="C70" s="16" t="n">
        <v>7</v>
      </c>
      <c r="D70" s="16" t="n">
        <v>8</v>
      </c>
      <c r="E70" s="16" t="n">
        <v>6</v>
      </c>
      <c r="F70" s="16" t="n">
        <v>5</v>
      </c>
      <c r="G70" s="16" t="n">
        <v>3</v>
      </c>
      <c r="H70" s="16" t="n">
        <v>5</v>
      </c>
      <c r="I70" s="16" t="n">
        <v>4</v>
      </c>
    </row>
    <row r="71" customFormat="false" ht="15" hidden="false" customHeight="true" outlineLevel="0" collapsed="false">
      <c r="A71" s="5" t="s">
        <v>152</v>
      </c>
      <c r="B71" s="16" t="n">
        <v>3</v>
      </c>
      <c r="C71" s="16" t="n">
        <v>3</v>
      </c>
      <c r="D71" s="16" t="n">
        <v>7</v>
      </c>
      <c r="E71" s="16" t="n">
        <v>8</v>
      </c>
      <c r="F71" s="16" t="n">
        <v>6</v>
      </c>
      <c r="G71" s="16" t="n">
        <v>14</v>
      </c>
      <c r="H71" s="16" t="n">
        <v>5</v>
      </c>
      <c r="I71" s="16" t="n">
        <v>10</v>
      </c>
    </row>
    <row r="72" customFormat="false" ht="15" hidden="false" customHeight="true" outlineLevel="0" collapsed="false">
      <c r="A72" s="5" t="s">
        <v>153</v>
      </c>
      <c r="B72" s="16" t="n">
        <v>5</v>
      </c>
      <c r="C72" s="16" t="n">
        <v>3</v>
      </c>
      <c r="D72" s="16" t="n">
        <v>6</v>
      </c>
      <c r="E72" s="16" t="n">
        <v>6</v>
      </c>
      <c r="F72" s="16" t="n">
        <v>14</v>
      </c>
      <c r="G72" s="16" t="n">
        <v>3</v>
      </c>
      <c r="H72" s="16" t="n">
        <v>9</v>
      </c>
      <c r="I72" s="16" t="n">
        <v>13</v>
      </c>
    </row>
    <row r="73" customFormat="false" ht="15" hidden="false" customHeight="true" outlineLevel="0" collapsed="false">
      <c r="A73" s="5" t="s">
        <v>154</v>
      </c>
      <c r="B73" s="16" t="n">
        <v>2</v>
      </c>
      <c r="C73" s="16" t="n">
        <v>4</v>
      </c>
      <c r="D73" s="16" t="n">
        <v>10</v>
      </c>
      <c r="E73" s="16" t="n">
        <v>9</v>
      </c>
      <c r="F73" s="16" t="n">
        <v>8</v>
      </c>
      <c r="G73" s="16" t="n">
        <v>13</v>
      </c>
      <c r="H73" s="16" t="n">
        <v>12</v>
      </c>
      <c r="I73" s="16" t="n">
        <v>8</v>
      </c>
    </row>
    <row r="74" customFormat="false" ht="15" hidden="false" customHeight="true" outlineLevel="0" collapsed="false">
      <c r="A74" s="5" t="s">
        <v>155</v>
      </c>
      <c r="B74" s="16" t="n">
        <v>3</v>
      </c>
      <c r="C74" s="16" t="n">
        <v>6</v>
      </c>
      <c r="D74" s="16" t="n">
        <v>3</v>
      </c>
      <c r="E74" s="16" t="n">
        <v>7</v>
      </c>
      <c r="F74" s="16" t="n">
        <v>9</v>
      </c>
      <c r="G74" s="16" t="n">
        <v>8</v>
      </c>
      <c r="H74" s="16" t="n">
        <v>5</v>
      </c>
      <c r="I74" s="16" t="n">
        <v>11</v>
      </c>
    </row>
    <row r="75" customFormat="false" ht="15" hidden="false" customHeight="true" outlineLevel="0" collapsed="false">
      <c r="A75" s="5" t="s">
        <v>156</v>
      </c>
      <c r="B75" s="16" t="n">
        <v>0</v>
      </c>
      <c r="C75" s="16" t="n">
        <v>0</v>
      </c>
      <c r="D75" s="16" t="n">
        <v>0</v>
      </c>
      <c r="E75" s="16" t="n">
        <v>0</v>
      </c>
      <c r="F75" s="16" t="n">
        <v>0</v>
      </c>
      <c r="G75" s="16" t="n">
        <v>0</v>
      </c>
      <c r="H75" s="16" t="n">
        <v>0</v>
      </c>
      <c r="I75" s="16" t="n">
        <v>0</v>
      </c>
    </row>
    <row r="76" customFormat="false" ht="15" hidden="false" customHeight="true" outlineLevel="0" collapsed="false">
      <c r="A76" s="5" t="s">
        <v>157</v>
      </c>
      <c r="B76" s="16" t="n">
        <v>1</v>
      </c>
      <c r="C76" s="16" t="n">
        <v>0</v>
      </c>
      <c r="D76" s="16" t="n">
        <v>0</v>
      </c>
      <c r="E76" s="16" t="n">
        <v>2</v>
      </c>
      <c r="F76" s="16" t="n">
        <v>0</v>
      </c>
      <c r="G76" s="16" t="n">
        <v>0</v>
      </c>
      <c r="H76" s="16" t="n">
        <v>0</v>
      </c>
      <c r="I76" s="16" t="n">
        <v>1</v>
      </c>
    </row>
    <row r="77" customFormat="false" ht="15" hidden="false" customHeight="true" outlineLevel="0" collapsed="false">
      <c r="A77" s="5" t="s">
        <v>158</v>
      </c>
      <c r="B77" s="16" t="n">
        <v>1</v>
      </c>
      <c r="C77" s="16" t="n">
        <v>0</v>
      </c>
      <c r="D77" s="16" t="n">
        <v>2</v>
      </c>
      <c r="E77" s="16" t="n">
        <v>2</v>
      </c>
      <c r="F77" s="16" t="n">
        <v>1</v>
      </c>
      <c r="G77" s="16" t="n">
        <v>4</v>
      </c>
      <c r="H77" s="16" t="n">
        <v>1</v>
      </c>
      <c r="I77" s="16" t="n">
        <v>3</v>
      </c>
    </row>
    <row r="78" customFormat="false" ht="15" hidden="false" customHeight="true" outlineLevel="0" collapsed="false">
      <c r="A78" s="5" t="s">
        <v>159</v>
      </c>
      <c r="B78" s="16" t="n">
        <v>3</v>
      </c>
      <c r="C78" s="16" t="n">
        <v>1</v>
      </c>
      <c r="D78" s="16" t="n">
        <v>3</v>
      </c>
      <c r="E78" s="16" t="n">
        <v>0</v>
      </c>
      <c r="F78" s="16" t="n">
        <v>2</v>
      </c>
      <c r="G78" s="16" t="n">
        <v>3</v>
      </c>
      <c r="H78" s="16" t="n">
        <v>1</v>
      </c>
      <c r="I78" s="16" t="n">
        <v>2</v>
      </c>
    </row>
    <row r="79" customFormat="false" ht="15" hidden="false" customHeight="true" outlineLevel="0" collapsed="false">
      <c r="A79" s="5" t="s">
        <v>160</v>
      </c>
      <c r="B79" s="16" t="n">
        <v>1</v>
      </c>
      <c r="C79" s="16" t="n">
        <v>2</v>
      </c>
      <c r="D79" s="16" t="n">
        <v>1</v>
      </c>
      <c r="E79" s="16" t="n">
        <v>1</v>
      </c>
      <c r="F79" s="16" t="n">
        <v>3</v>
      </c>
      <c r="G79" s="16" t="n">
        <v>0</v>
      </c>
      <c r="H79" s="16" t="n">
        <v>4</v>
      </c>
      <c r="I79" s="16" t="n">
        <v>0</v>
      </c>
    </row>
    <row r="80" customFormat="false" ht="15" hidden="false" customHeight="true" outlineLevel="0" collapsed="false">
      <c r="A80" s="5" t="s">
        <v>161</v>
      </c>
      <c r="B80" s="16" t="n">
        <v>1</v>
      </c>
      <c r="C80" s="16" t="n">
        <v>3</v>
      </c>
      <c r="D80" s="16" t="n">
        <v>1</v>
      </c>
      <c r="E80" s="16" t="n">
        <v>1</v>
      </c>
      <c r="F80" s="16" t="n">
        <v>5</v>
      </c>
      <c r="G80" s="16" t="n">
        <v>4</v>
      </c>
      <c r="H80" s="16" t="n">
        <v>4</v>
      </c>
      <c r="I80" s="16" t="n">
        <v>2</v>
      </c>
    </row>
    <row r="81" customFormat="false" ht="15" hidden="false" customHeight="true" outlineLevel="0" collapsed="false">
      <c r="A81" s="5" t="s">
        <v>162</v>
      </c>
      <c r="B81" s="16" t="n">
        <v>3</v>
      </c>
      <c r="C81" s="16" t="n">
        <v>2</v>
      </c>
      <c r="D81" s="16" t="n">
        <v>0</v>
      </c>
      <c r="E81" s="16" t="n">
        <v>2</v>
      </c>
      <c r="F81" s="16" t="n">
        <v>2</v>
      </c>
      <c r="G81" s="16" t="n">
        <v>3</v>
      </c>
      <c r="H81" s="16" t="n">
        <v>2</v>
      </c>
      <c r="I81" s="16" t="n">
        <v>1</v>
      </c>
    </row>
    <row r="82" customFormat="false" ht="15" hidden="false" customHeight="true" outlineLevel="0" collapsed="false">
      <c r="A82" s="5" t="s">
        <v>163</v>
      </c>
      <c r="B82" s="16" t="n">
        <v>1</v>
      </c>
      <c r="C82" s="16" t="n">
        <v>3</v>
      </c>
      <c r="D82" s="16" t="n">
        <v>6</v>
      </c>
      <c r="E82" s="16" t="n">
        <v>3</v>
      </c>
      <c r="F82" s="16" t="n">
        <v>2</v>
      </c>
      <c r="G82" s="16" t="n">
        <v>2</v>
      </c>
      <c r="H82" s="16" t="n">
        <v>3</v>
      </c>
      <c r="I82" s="16" t="n">
        <v>2</v>
      </c>
    </row>
    <row r="83" customFormat="false" ht="15" hidden="false" customHeight="true" outlineLevel="0" collapsed="false">
      <c r="A83" s="5" t="s">
        <v>164</v>
      </c>
      <c r="B83" s="16" t="n">
        <v>4</v>
      </c>
      <c r="C83" s="16" t="n">
        <v>4</v>
      </c>
      <c r="D83" s="16" t="n">
        <v>11</v>
      </c>
      <c r="E83" s="16" t="n">
        <v>9</v>
      </c>
      <c r="F83" s="16" t="n">
        <v>16</v>
      </c>
      <c r="G83" s="16" t="n">
        <v>11</v>
      </c>
      <c r="H83" s="16" t="n">
        <v>1</v>
      </c>
      <c r="I83" s="16" t="n">
        <v>5</v>
      </c>
    </row>
    <row r="84" customFormat="false" ht="15" hidden="false" customHeight="true" outlineLevel="0" collapsed="false">
      <c r="A84" s="5" t="s">
        <v>165</v>
      </c>
      <c r="B84" s="16" t="n">
        <v>5</v>
      </c>
      <c r="C84" s="16" t="n">
        <v>5</v>
      </c>
      <c r="D84" s="16" t="n">
        <v>9</v>
      </c>
      <c r="E84" s="16" t="n">
        <v>9</v>
      </c>
      <c r="F84" s="16" t="n">
        <v>4</v>
      </c>
      <c r="G84" s="16" t="n">
        <v>9</v>
      </c>
      <c r="H84" s="16" t="n">
        <v>6</v>
      </c>
      <c r="I84" s="16" t="n">
        <v>10</v>
      </c>
    </row>
    <row r="85" customFormat="false" ht="15" hidden="false" customHeight="true" outlineLevel="0" collapsed="false">
      <c r="A85" s="5" t="s">
        <v>166</v>
      </c>
      <c r="B85" s="16" t="n">
        <v>4</v>
      </c>
      <c r="C85" s="16" t="n">
        <v>5</v>
      </c>
      <c r="D85" s="16" t="n">
        <v>7</v>
      </c>
      <c r="E85" s="16" t="n">
        <v>4</v>
      </c>
      <c r="F85" s="16" t="n">
        <v>11</v>
      </c>
      <c r="G85" s="16" t="n">
        <v>4</v>
      </c>
      <c r="H85" s="16" t="n">
        <v>5</v>
      </c>
      <c r="I85" s="16" t="n">
        <v>4</v>
      </c>
    </row>
    <row r="86" customFormat="false" ht="15" hidden="false" customHeight="true" outlineLevel="0" collapsed="false">
      <c r="A86" s="5" t="s">
        <v>167</v>
      </c>
      <c r="B86" s="16" t="n">
        <v>8</v>
      </c>
      <c r="C86" s="16" t="n">
        <v>6</v>
      </c>
      <c r="D86" s="16" t="n">
        <v>6</v>
      </c>
      <c r="E86" s="16" t="n">
        <v>5</v>
      </c>
      <c r="F86" s="16" t="n">
        <v>6</v>
      </c>
      <c r="G86" s="16" t="n">
        <v>9</v>
      </c>
      <c r="H86" s="16" t="n">
        <v>10</v>
      </c>
      <c r="I86" s="16" t="n">
        <v>6</v>
      </c>
    </row>
    <row r="87" customFormat="false" ht="15" hidden="false" customHeight="true" outlineLevel="0" collapsed="false">
      <c r="A87" s="5" t="s">
        <v>168</v>
      </c>
      <c r="B87" s="16" t="n">
        <v>5</v>
      </c>
      <c r="C87" s="16" t="n">
        <v>8</v>
      </c>
      <c r="D87" s="16" t="n">
        <v>8</v>
      </c>
      <c r="E87" s="16" t="n">
        <v>5</v>
      </c>
      <c r="F87" s="16" t="n">
        <v>11</v>
      </c>
      <c r="G87" s="16" t="n">
        <v>16</v>
      </c>
      <c r="H87" s="16" t="n">
        <v>8</v>
      </c>
      <c r="I87" s="16" t="n">
        <v>10</v>
      </c>
    </row>
    <row r="88" customFormat="false" ht="15" hidden="false" customHeight="true" outlineLevel="0" collapsed="false">
      <c r="A88" s="5" t="s">
        <v>169</v>
      </c>
      <c r="B88" s="16" t="n">
        <v>5</v>
      </c>
      <c r="C88" s="16" t="n">
        <v>5</v>
      </c>
      <c r="D88" s="16" t="n">
        <v>11</v>
      </c>
      <c r="E88" s="16" t="n">
        <v>11</v>
      </c>
      <c r="F88" s="16" t="n">
        <v>7</v>
      </c>
      <c r="G88" s="16" t="n">
        <v>11</v>
      </c>
      <c r="H88" s="16" t="n">
        <v>8</v>
      </c>
      <c r="I88" s="16" t="n">
        <v>7</v>
      </c>
    </row>
    <row r="89" customFormat="false" ht="15" hidden="false" customHeight="true" outlineLevel="0" collapsed="false">
      <c r="A89" s="5" t="s">
        <v>170</v>
      </c>
      <c r="B89" s="16" t="n">
        <v>0</v>
      </c>
      <c r="C89" s="16" t="n">
        <v>0</v>
      </c>
      <c r="D89" s="16" t="n">
        <v>0</v>
      </c>
      <c r="E89" s="16" t="n">
        <v>0</v>
      </c>
      <c r="F89" s="16" t="n">
        <v>0</v>
      </c>
      <c r="G89" s="16" t="n">
        <v>0</v>
      </c>
      <c r="H89" s="16" t="n">
        <v>0</v>
      </c>
      <c r="I89" s="16" t="n">
        <v>0</v>
      </c>
    </row>
    <row r="90" customFormat="false" ht="15" hidden="false" customHeight="true" outlineLevel="0" collapsed="false">
      <c r="A90" s="5" t="s">
        <v>171</v>
      </c>
      <c r="B90" s="16" t="n">
        <v>1</v>
      </c>
      <c r="C90" s="16" t="n">
        <v>1</v>
      </c>
      <c r="D90" s="16" t="n">
        <v>0</v>
      </c>
      <c r="E90" s="16" t="n">
        <v>3</v>
      </c>
      <c r="F90" s="16" t="n">
        <v>3</v>
      </c>
      <c r="G90" s="16" t="n">
        <v>4</v>
      </c>
      <c r="H90" s="16" t="n">
        <v>4</v>
      </c>
      <c r="I90" s="16" t="n">
        <v>1</v>
      </c>
    </row>
    <row r="91" customFormat="false" ht="15" hidden="false" customHeight="true" outlineLevel="0" collapsed="false">
      <c r="A91" s="5" t="s">
        <v>172</v>
      </c>
      <c r="B91" s="16" t="n">
        <v>1</v>
      </c>
      <c r="C91" s="16" t="n">
        <v>3</v>
      </c>
      <c r="D91" s="16" t="n">
        <v>2</v>
      </c>
      <c r="E91" s="16" t="n">
        <v>2</v>
      </c>
      <c r="F91" s="16" t="n">
        <v>3</v>
      </c>
      <c r="G91" s="16" t="n">
        <v>3</v>
      </c>
      <c r="H91" s="16" t="n">
        <v>3</v>
      </c>
      <c r="I91" s="16" t="n">
        <v>1</v>
      </c>
    </row>
    <row r="92" customFormat="false" ht="15" hidden="false" customHeight="true" outlineLevel="0" collapsed="false">
      <c r="A92" s="5" t="s">
        <v>173</v>
      </c>
      <c r="B92" s="16" t="n">
        <v>0</v>
      </c>
      <c r="C92" s="16" t="n">
        <v>0</v>
      </c>
      <c r="D92" s="16" t="n">
        <v>2</v>
      </c>
      <c r="E92" s="16" t="n">
        <v>2</v>
      </c>
      <c r="F92" s="16" t="n">
        <v>5</v>
      </c>
      <c r="G92" s="16" t="n">
        <v>0</v>
      </c>
      <c r="H92" s="16" t="n">
        <v>4</v>
      </c>
      <c r="I92" s="16" t="n">
        <v>3</v>
      </c>
    </row>
    <row r="93" customFormat="false" ht="15" hidden="false" customHeight="true" outlineLevel="0" collapsed="false">
      <c r="A93" s="5" t="s">
        <v>174</v>
      </c>
      <c r="B93" s="16" t="n">
        <v>1</v>
      </c>
      <c r="C93" s="16" t="n">
        <v>0</v>
      </c>
      <c r="D93" s="16" t="n">
        <v>1</v>
      </c>
      <c r="E93" s="16" t="n">
        <v>0</v>
      </c>
      <c r="F93" s="16" t="n">
        <v>4</v>
      </c>
      <c r="G93" s="16" t="n">
        <v>1</v>
      </c>
      <c r="H93" s="16" t="n">
        <v>3</v>
      </c>
      <c r="I93" s="16" t="n">
        <v>1</v>
      </c>
    </row>
    <row r="94" customFormat="false" ht="15" hidden="false" customHeight="true" outlineLevel="0" collapsed="false">
      <c r="A94" s="5" t="s">
        <v>175</v>
      </c>
      <c r="B94" s="16" t="n">
        <v>1</v>
      </c>
      <c r="C94" s="16" t="n">
        <v>4</v>
      </c>
      <c r="D94" s="16" t="n">
        <v>2</v>
      </c>
      <c r="E94" s="16" t="n">
        <v>2</v>
      </c>
      <c r="F94" s="16" t="n">
        <v>4</v>
      </c>
      <c r="G94" s="16" t="n">
        <v>4</v>
      </c>
      <c r="H94" s="16" t="n">
        <v>2</v>
      </c>
      <c r="I94" s="16" t="n">
        <v>1</v>
      </c>
    </row>
    <row r="95" customFormat="false" ht="15" hidden="false" customHeight="true" outlineLevel="0" collapsed="false">
      <c r="A95" s="5" t="s">
        <v>176</v>
      </c>
      <c r="B95" s="16" t="n">
        <v>2</v>
      </c>
      <c r="C95" s="16" t="n">
        <v>3</v>
      </c>
      <c r="D95" s="16" t="n">
        <v>4</v>
      </c>
      <c r="E95" s="16" t="n">
        <v>2</v>
      </c>
      <c r="F95" s="16" t="n">
        <v>4</v>
      </c>
      <c r="G95" s="16" t="n">
        <v>2</v>
      </c>
      <c r="H95" s="16" t="n">
        <v>1</v>
      </c>
      <c r="I95" s="16" t="n">
        <v>3</v>
      </c>
    </row>
    <row r="96" customFormat="false" ht="15" hidden="false" customHeight="true" outlineLevel="0" collapsed="false">
      <c r="A96" s="5" t="s">
        <v>177</v>
      </c>
      <c r="B96" s="16" t="n">
        <v>6</v>
      </c>
      <c r="C96" s="16" t="n">
        <v>5</v>
      </c>
      <c r="D96" s="16" t="n">
        <v>3</v>
      </c>
      <c r="E96" s="16" t="n">
        <v>7</v>
      </c>
      <c r="F96" s="16" t="n">
        <v>7</v>
      </c>
      <c r="G96" s="16" t="n">
        <v>7</v>
      </c>
      <c r="H96" s="16" t="n">
        <v>7</v>
      </c>
      <c r="I96" s="16" t="n">
        <v>6</v>
      </c>
    </row>
    <row r="97" customFormat="false" ht="15" hidden="false" customHeight="true" outlineLevel="0" collapsed="false">
      <c r="A97" s="5" t="s">
        <v>178</v>
      </c>
      <c r="B97" s="16" t="n">
        <v>3</v>
      </c>
      <c r="C97" s="16" t="n">
        <v>5</v>
      </c>
      <c r="D97" s="16" t="n">
        <v>8</v>
      </c>
      <c r="E97" s="16" t="n">
        <v>7</v>
      </c>
      <c r="F97" s="16" t="n">
        <v>6</v>
      </c>
      <c r="G97" s="16" t="n">
        <v>8</v>
      </c>
      <c r="H97" s="16" t="n">
        <v>7</v>
      </c>
      <c r="I97" s="16" t="n">
        <v>9</v>
      </c>
    </row>
    <row r="98" customFormat="false" ht="15" hidden="false" customHeight="true" outlineLevel="0" collapsed="false">
      <c r="A98" s="5" t="s">
        <v>179</v>
      </c>
      <c r="B98" s="16" t="n">
        <v>2</v>
      </c>
      <c r="C98" s="16" t="n">
        <v>7</v>
      </c>
      <c r="D98" s="16" t="n">
        <v>5</v>
      </c>
      <c r="E98" s="16" t="n">
        <v>4</v>
      </c>
      <c r="F98" s="16" t="n">
        <v>5</v>
      </c>
      <c r="G98" s="16" t="n">
        <v>7</v>
      </c>
      <c r="H98" s="16" t="n">
        <v>8</v>
      </c>
      <c r="I98" s="16" t="n">
        <v>7</v>
      </c>
    </row>
    <row r="99" customFormat="false" ht="15" hidden="false" customHeight="true" outlineLevel="0" collapsed="false">
      <c r="A99" s="5" t="s">
        <v>180</v>
      </c>
      <c r="B99" s="16" t="n">
        <v>1</v>
      </c>
      <c r="C99" s="16" t="n">
        <v>8</v>
      </c>
      <c r="D99" s="16" t="n">
        <v>4</v>
      </c>
      <c r="E99" s="16" t="n">
        <v>6</v>
      </c>
      <c r="F99" s="16" t="n">
        <v>7</v>
      </c>
      <c r="G99" s="16" t="n">
        <v>8</v>
      </c>
      <c r="H99" s="16" t="n">
        <v>3</v>
      </c>
      <c r="I99" s="16" t="n">
        <v>9</v>
      </c>
    </row>
    <row r="100" customFormat="false" ht="15" hidden="false" customHeight="true" outlineLevel="0" collapsed="false">
      <c r="A100" s="5" t="s">
        <v>181</v>
      </c>
      <c r="B100" s="16" t="n">
        <v>7</v>
      </c>
      <c r="C100" s="16" t="n">
        <v>8</v>
      </c>
      <c r="D100" s="16" t="n">
        <v>4</v>
      </c>
      <c r="E100" s="16" t="n">
        <v>6</v>
      </c>
      <c r="F100" s="16" t="n">
        <v>13</v>
      </c>
      <c r="G100" s="16" t="n">
        <v>11</v>
      </c>
      <c r="H100" s="16" t="n">
        <v>9</v>
      </c>
      <c r="I100" s="16" t="n">
        <v>10</v>
      </c>
    </row>
    <row r="101" customFormat="false" ht="15" hidden="false" customHeight="true" outlineLevel="0" collapsed="false">
      <c r="A101" s="5" t="s">
        <v>182</v>
      </c>
      <c r="B101" s="16" t="n">
        <v>8</v>
      </c>
      <c r="C101" s="16" t="n">
        <v>7</v>
      </c>
      <c r="D101" s="16" t="n">
        <v>4</v>
      </c>
      <c r="E101" s="16" t="n">
        <v>10</v>
      </c>
      <c r="F101" s="16" t="n">
        <v>12</v>
      </c>
      <c r="G101" s="16" t="n">
        <v>8</v>
      </c>
      <c r="H101" s="16" t="n">
        <v>7</v>
      </c>
      <c r="I101" s="16" t="n">
        <v>12</v>
      </c>
    </row>
    <row r="102" customFormat="false" ht="15" hidden="false" customHeight="true" outlineLevel="0" collapsed="false">
      <c r="A102" s="5" t="s">
        <v>183</v>
      </c>
      <c r="B102" s="16" t="n">
        <v>2</v>
      </c>
      <c r="C102" s="16" t="n">
        <v>2</v>
      </c>
      <c r="D102" s="16" t="n">
        <v>8</v>
      </c>
      <c r="E102" s="16" t="n">
        <v>7</v>
      </c>
      <c r="F102" s="16" t="n">
        <v>7</v>
      </c>
      <c r="G102" s="16" t="n">
        <v>8</v>
      </c>
      <c r="H102" s="16" t="n">
        <v>3</v>
      </c>
      <c r="I102" s="16" t="n">
        <v>11</v>
      </c>
    </row>
    <row r="103" customFormat="false" ht="15" hidden="false" customHeight="true" outlineLevel="0" collapsed="false">
      <c r="A103" s="5" t="s">
        <v>184</v>
      </c>
      <c r="B103" s="16" t="n">
        <v>1</v>
      </c>
      <c r="C103" s="16" t="n">
        <v>0</v>
      </c>
      <c r="D103" s="16" t="n">
        <v>0</v>
      </c>
      <c r="E103" s="16" t="n">
        <v>0</v>
      </c>
      <c r="F103" s="16" t="n">
        <v>1</v>
      </c>
      <c r="G103" s="16" t="n">
        <v>0</v>
      </c>
      <c r="H103" s="16" t="n">
        <v>0</v>
      </c>
      <c r="I103" s="16" t="n">
        <v>0</v>
      </c>
    </row>
    <row r="104" customFormat="false" ht="15" hidden="false" customHeight="true" outlineLevel="0" collapsed="false">
      <c r="A104" s="5" t="s">
        <v>185</v>
      </c>
      <c r="B104" s="16" t="n">
        <v>0</v>
      </c>
      <c r="C104" s="16" t="n">
        <v>0</v>
      </c>
      <c r="D104" s="16" t="n">
        <v>2</v>
      </c>
      <c r="E104" s="16" t="n">
        <v>1</v>
      </c>
      <c r="F104" s="16" t="n">
        <v>0</v>
      </c>
      <c r="G104" s="16" t="n">
        <v>2</v>
      </c>
      <c r="H104" s="16" t="n">
        <v>4</v>
      </c>
      <c r="I104" s="16" t="n">
        <v>0</v>
      </c>
    </row>
    <row r="105" customFormat="false" ht="15" hidden="false" customHeight="true" outlineLevel="0" collapsed="false">
      <c r="A105" s="5" t="s">
        <v>186</v>
      </c>
      <c r="B105" s="16" t="n">
        <v>1</v>
      </c>
      <c r="C105" s="16" t="n">
        <v>3</v>
      </c>
      <c r="D105" s="16" t="n">
        <v>1</v>
      </c>
      <c r="E105" s="16" t="n">
        <v>2</v>
      </c>
      <c r="F105" s="16" t="n">
        <v>4</v>
      </c>
      <c r="G105" s="16" t="n">
        <v>4</v>
      </c>
      <c r="H105" s="16" t="n">
        <v>1</v>
      </c>
      <c r="I105" s="16" t="n">
        <v>2</v>
      </c>
    </row>
    <row r="106" customFormat="false" ht="15" hidden="false" customHeight="true" outlineLevel="0" collapsed="false">
      <c r="A106" s="5" t="s">
        <v>187</v>
      </c>
      <c r="B106" s="16" t="n">
        <v>1</v>
      </c>
      <c r="C106" s="16" t="n">
        <v>2</v>
      </c>
      <c r="D106" s="16" t="n">
        <v>2</v>
      </c>
      <c r="E106" s="16" t="n">
        <v>0</v>
      </c>
      <c r="F106" s="16" t="n">
        <v>2</v>
      </c>
      <c r="G106" s="16" t="n">
        <v>2</v>
      </c>
      <c r="H106" s="16" t="n">
        <v>1</v>
      </c>
      <c r="I106" s="16" t="n">
        <v>3</v>
      </c>
    </row>
    <row r="107" customFormat="false" ht="15" hidden="false" customHeight="true" outlineLevel="0" collapsed="false">
      <c r="A107" s="5" t="s">
        <v>188</v>
      </c>
      <c r="B107" s="16" t="n">
        <v>0</v>
      </c>
      <c r="C107" s="16" t="n">
        <v>5</v>
      </c>
      <c r="D107" s="16" t="n">
        <v>0</v>
      </c>
      <c r="E107" s="16" t="n">
        <v>1</v>
      </c>
      <c r="F107" s="16" t="n">
        <v>3</v>
      </c>
      <c r="G107" s="16" t="n">
        <v>4</v>
      </c>
      <c r="H107" s="16" t="n">
        <v>4</v>
      </c>
      <c r="I107" s="16" t="n">
        <v>2</v>
      </c>
    </row>
    <row r="108" customFormat="false" ht="15" hidden="false" customHeight="true" outlineLevel="0" collapsed="false">
      <c r="A108" s="5" t="s">
        <v>189</v>
      </c>
      <c r="B108" s="16" t="n">
        <v>4</v>
      </c>
      <c r="C108" s="16" t="n">
        <v>3</v>
      </c>
      <c r="D108" s="16" t="n">
        <v>1</v>
      </c>
      <c r="E108" s="16" t="n">
        <v>4</v>
      </c>
      <c r="F108" s="16" t="n">
        <v>1</v>
      </c>
      <c r="G108" s="16" t="n">
        <v>2</v>
      </c>
      <c r="H108" s="16" t="n">
        <v>2</v>
      </c>
      <c r="I108" s="16" t="n">
        <v>6</v>
      </c>
    </row>
    <row r="109" customFormat="false" ht="15" hidden="false" customHeight="true" outlineLevel="0" collapsed="false">
      <c r="A109" s="5" t="s">
        <v>190</v>
      </c>
      <c r="B109" s="16" t="n">
        <v>7</v>
      </c>
      <c r="C109" s="16" t="n">
        <v>6</v>
      </c>
      <c r="D109" s="16" t="n">
        <v>6</v>
      </c>
      <c r="E109" s="16" t="n">
        <v>8</v>
      </c>
      <c r="F109" s="16" t="n">
        <v>11</v>
      </c>
      <c r="G109" s="16" t="n">
        <v>6</v>
      </c>
      <c r="H109" s="16" t="n">
        <v>7</v>
      </c>
      <c r="I109" s="16" t="n">
        <v>5</v>
      </c>
    </row>
    <row r="110" customFormat="false" ht="15" hidden="false" customHeight="true" outlineLevel="0" collapsed="false">
      <c r="A110" s="5" t="s">
        <v>191</v>
      </c>
      <c r="B110" s="16" t="n">
        <v>4</v>
      </c>
      <c r="C110" s="16" t="n">
        <v>3</v>
      </c>
      <c r="D110" s="16" t="n">
        <v>6</v>
      </c>
      <c r="E110" s="16" t="n">
        <v>6</v>
      </c>
      <c r="F110" s="16" t="n">
        <v>8</v>
      </c>
      <c r="G110" s="16" t="n">
        <v>6</v>
      </c>
      <c r="H110" s="16" t="n">
        <v>13</v>
      </c>
      <c r="I110" s="16" t="n">
        <v>10</v>
      </c>
    </row>
    <row r="111" customFormat="false" ht="15" hidden="false" customHeight="true" outlineLevel="0" collapsed="false">
      <c r="A111" s="5" t="s">
        <v>192</v>
      </c>
      <c r="B111" s="16" t="n">
        <v>3</v>
      </c>
      <c r="C111" s="16" t="n">
        <v>2</v>
      </c>
      <c r="D111" s="16" t="n">
        <v>12</v>
      </c>
      <c r="E111" s="16" t="n">
        <v>12</v>
      </c>
      <c r="F111" s="16" t="n">
        <v>8</v>
      </c>
      <c r="G111" s="16" t="n">
        <v>10</v>
      </c>
      <c r="H111" s="16" t="n">
        <v>10</v>
      </c>
      <c r="I111" s="16" t="n">
        <v>8</v>
      </c>
    </row>
    <row r="112" customFormat="false" ht="15" hidden="false" customHeight="true" outlineLevel="0" collapsed="false">
      <c r="A112" s="5" t="s">
        <v>193</v>
      </c>
      <c r="B112" s="16" t="n">
        <v>5</v>
      </c>
      <c r="C112" s="16" t="n">
        <v>9</v>
      </c>
      <c r="D112" s="16" t="n">
        <v>7</v>
      </c>
      <c r="E112" s="16" t="n">
        <v>10</v>
      </c>
      <c r="F112" s="16" t="n">
        <v>9</v>
      </c>
      <c r="G112" s="16" t="n">
        <v>6</v>
      </c>
      <c r="H112" s="16" t="n">
        <v>9</v>
      </c>
      <c r="I112" s="16" t="n">
        <v>12</v>
      </c>
    </row>
    <row r="113" customFormat="false" ht="15" hidden="false" customHeight="true" outlineLevel="0" collapsed="false">
      <c r="A113" s="5" t="s">
        <v>194</v>
      </c>
      <c r="B113" s="16" t="n">
        <v>10</v>
      </c>
      <c r="C113" s="16" t="n">
        <v>6</v>
      </c>
      <c r="D113" s="16" t="n">
        <v>5</v>
      </c>
      <c r="E113" s="16" t="n">
        <v>7</v>
      </c>
      <c r="F113" s="16" t="n">
        <v>6</v>
      </c>
      <c r="G113" s="16" t="n">
        <v>12</v>
      </c>
      <c r="H113" s="16" t="n">
        <v>7</v>
      </c>
      <c r="I113" s="16" t="n">
        <v>9</v>
      </c>
    </row>
    <row r="114" customFormat="false" ht="15" hidden="false" customHeight="true" outlineLevel="0" collapsed="false">
      <c r="A114" s="5" t="s">
        <v>195</v>
      </c>
      <c r="B114" s="16" t="n">
        <v>6</v>
      </c>
      <c r="C114" s="16" t="n">
        <v>4</v>
      </c>
      <c r="D114" s="16" t="n">
        <v>3</v>
      </c>
      <c r="E114" s="16" t="n">
        <v>6</v>
      </c>
      <c r="F114" s="16" t="n">
        <v>7</v>
      </c>
      <c r="G114" s="16" t="n">
        <v>6</v>
      </c>
      <c r="H114" s="16" t="n">
        <v>14</v>
      </c>
      <c r="I114" s="16" t="n">
        <v>7</v>
      </c>
    </row>
    <row r="115" customFormat="false" ht="15" hidden="false" customHeight="true" outlineLevel="0" collapsed="false">
      <c r="A115" s="5" t="s">
        <v>196</v>
      </c>
      <c r="B115" s="16" t="n">
        <v>3</v>
      </c>
      <c r="C115" s="16" t="n">
        <v>4</v>
      </c>
      <c r="D115" s="16" t="n">
        <v>9</v>
      </c>
      <c r="E115" s="16" t="n">
        <v>5</v>
      </c>
      <c r="F115" s="16" t="n">
        <v>4</v>
      </c>
      <c r="G115" s="16" t="n">
        <v>7</v>
      </c>
      <c r="H115" s="16" t="n">
        <v>10</v>
      </c>
      <c r="I115" s="16" t="n">
        <v>10</v>
      </c>
    </row>
    <row r="116" customFormat="false" ht="15" hidden="false" customHeight="true" outlineLevel="0" collapsed="false">
      <c r="A116" s="5" t="s">
        <v>197</v>
      </c>
      <c r="B116" s="16" t="n">
        <v>7</v>
      </c>
      <c r="C116" s="16" t="n">
        <v>4</v>
      </c>
      <c r="D116" s="16" t="n">
        <v>6</v>
      </c>
      <c r="E116" s="16" t="n">
        <v>4</v>
      </c>
      <c r="F116" s="16" t="n">
        <v>11</v>
      </c>
      <c r="G116" s="16" t="n">
        <v>3</v>
      </c>
      <c r="H116" s="16" t="n">
        <v>13</v>
      </c>
      <c r="I116" s="16" t="n">
        <v>8</v>
      </c>
    </row>
    <row r="117" customFormat="false" ht="15" hidden="false" customHeight="true" outlineLevel="0" collapsed="false">
      <c r="A117" s="5" t="s">
        <v>198</v>
      </c>
      <c r="B117" s="16" t="n">
        <v>0</v>
      </c>
      <c r="C117" s="16" t="n">
        <v>0</v>
      </c>
      <c r="D117" s="16" t="n">
        <v>0</v>
      </c>
      <c r="E117" s="16" t="n">
        <v>1</v>
      </c>
      <c r="F117" s="16" t="n">
        <v>0</v>
      </c>
      <c r="G117" s="16" t="n">
        <v>0</v>
      </c>
      <c r="H117" s="16" t="n">
        <v>0</v>
      </c>
      <c r="I117" s="16" t="n">
        <v>0</v>
      </c>
    </row>
    <row r="118" customFormat="false" ht="15" hidden="false" customHeight="true" outlineLevel="0" collapsed="false">
      <c r="A118" s="5" t="s">
        <v>199</v>
      </c>
      <c r="B118" s="16" t="n">
        <v>3</v>
      </c>
      <c r="C118" s="16" t="n">
        <v>0</v>
      </c>
      <c r="D118" s="16" t="n">
        <v>0</v>
      </c>
      <c r="E118" s="16" t="n">
        <v>2</v>
      </c>
      <c r="F118" s="16" t="n">
        <v>1</v>
      </c>
      <c r="G118" s="16" t="n">
        <v>2</v>
      </c>
      <c r="H118" s="16" t="n">
        <v>1</v>
      </c>
      <c r="I118" s="16" t="n">
        <v>2</v>
      </c>
    </row>
    <row r="119" customFormat="false" ht="15" hidden="false" customHeight="true" outlineLevel="0" collapsed="false">
      <c r="A119" s="5" t="s">
        <v>200</v>
      </c>
      <c r="B119" s="16" t="n">
        <v>1</v>
      </c>
      <c r="C119" s="16" t="n">
        <v>2</v>
      </c>
      <c r="D119" s="16" t="n">
        <v>1</v>
      </c>
      <c r="E119" s="16" t="n">
        <v>2</v>
      </c>
      <c r="F119" s="16" t="n">
        <v>3</v>
      </c>
      <c r="G119" s="16" t="n">
        <v>2</v>
      </c>
      <c r="H119" s="16" t="n">
        <v>3</v>
      </c>
      <c r="I119" s="16" t="n">
        <v>2</v>
      </c>
    </row>
    <row r="120" customFormat="false" ht="15" hidden="false" customHeight="true" outlineLevel="0" collapsed="false">
      <c r="A120" s="5" t="s">
        <v>201</v>
      </c>
      <c r="B120" s="16" t="n">
        <v>0</v>
      </c>
      <c r="C120" s="16" t="n">
        <v>0</v>
      </c>
      <c r="D120" s="16" t="n">
        <v>1</v>
      </c>
      <c r="E120" s="16" t="n">
        <v>1</v>
      </c>
      <c r="F120" s="16" t="n">
        <v>2</v>
      </c>
      <c r="G120" s="16" t="n">
        <v>5</v>
      </c>
      <c r="H120" s="16" t="n">
        <v>2</v>
      </c>
      <c r="I120" s="16" t="n">
        <v>3</v>
      </c>
    </row>
    <row r="121" customFormat="false" ht="15" hidden="false" customHeight="true" outlineLevel="0" collapsed="false">
      <c r="A121" s="5" t="s">
        <v>202</v>
      </c>
      <c r="B121" s="16" t="n">
        <v>2</v>
      </c>
      <c r="C121" s="16" t="n">
        <v>2</v>
      </c>
      <c r="D121" s="16" t="n">
        <v>4</v>
      </c>
      <c r="E121" s="16" t="n">
        <v>3</v>
      </c>
      <c r="F121" s="16" t="n">
        <v>2</v>
      </c>
      <c r="G121" s="16" t="n">
        <v>3</v>
      </c>
      <c r="H121" s="16" t="n">
        <v>6</v>
      </c>
      <c r="I121" s="16" t="n">
        <v>1</v>
      </c>
    </row>
    <row r="122" customFormat="false" ht="15" hidden="false" customHeight="true" outlineLevel="0" collapsed="false">
      <c r="A122" s="5" t="s">
        <v>203</v>
      </c>
      <c r="B122" s="16" t="n">
        <v>2</v>
      </c>
      <c r="C122" s="16" t="n">
        <v>5</v>
      </c>
      <c r="D122" s="16" t="n">
        <v>5</v>
      </c>
      <c r="E122" s="16" t="n">
        <v>11</v>
      </c>
      <c r="F122" s="16" t="n">
        <v>7</v>
      </c>
      <c r="G122" s="16" t="n">
        <v>7</v>
      </c>
      <c r="H122" s="16" t="n">
        <v>6</v>
      </c>
      <c r="I122" s="16" t="n">
        <v>4</v>
      </c>
    </row>
    <row r="123" customFormat="false" ht="15" hidden="false" customHeight="true" outlineLevel="0" collapsed="false">
      <c r="A123" s="5" t="s">
        <v>204</v>
      </c>
      <c r="B123" s="16" t="n">
        <v>7</v>
      </c>
      <c r="C123" s="16" t="n">
        <v>5</v>
      </c>
      <c r="D123" s="16" t="n">
        <v>8</v>
      </c>
      <c r="E123" s="16" t="n">
        <v>9</v>
      </c>
      <c r="F123" s="16" t="n">
        <v>6</v>
      </c>
      <c r="G123" s="16" t="n">
        <v>6</v>
      </c>
      <c r="H123" s="16" t="n">
        <v>5</v>
      </c>
      <c r="I123" s="16" t="n">
        <v>5</v>
      </c>
    </row>
    <row r="124" customFormat="false" ht="15" hidden="false" customHeight="true" outlineLevel="0" collapsed="false">
      <c r="A124" s="5" t="s">
        <v>205</v>
      </c>
      <c r="B124" s="16" t="n">
        <v>3</v>
      </c>
      <c r="C124" s="16" t="n">
        <v>8</v>
      </c>
      <c r="D124" s="16" t="n">
        <v>5</v>
      </c>
      <c r="E124" s="16" t="n">
        <v>7</v>
      </c>
      <c r="F124" s="16" t="n">
        <v>3</v>
      </c>
      <c r="G124" s="16" t="n">
        <v>13</v>
      </c>
      <c r="H124" s="16" t="n">
        <v>6</v>
      </c>
      <c r="I124" s="16" t="n">
        <v>5</v>
      </c>
    </row>
    <row r="125" customFormat="false" ht="15" hidden="false" customHeight="true" outlineLevel="0" collapsed="false">
      <c r="A125" s="5" t="s">
        <v>206</v>
      </c>
      <c r="B125" s="16" t="n">
        <v>6</v>
      </c>
      <c r="C125" s="16" t="n">
        <v>6</v>
      </c>
      <c r="D125" s="16" t="n">
        <v>6</v>
      </c>
      <c r="E125" s="16" t="n">
        <v>5</v>
      </c>
      <c r="F125" s="16" t="n">
        <v>8</v>
      </c>
      <c r="G125" s="16" t="n">
        <v>5</v>
      </c>
      <c r="H125" s="16" t="n">
        <v>3</v>
      </c>
      <c r="I125" s="16" t="n">
        <v>13</v>
      </c>
    </row>
    <row r="126" customFormat="false" ht="15" hidden="false" customHeight="true" outlineLevel="0" collapsed="false">
      <c r="A126" s="5" t="s">
        <v>207</v>
      </c>
      <c r="B126" s="16" t="n">
        <v>3</v>
      </c>
      <c r="C126" s="16" t="n">
        <v>4</v>
      </c>
      <c r="D126" s="16" t="n">
        <v>9</v>
      </c>
      <c r="E126" s="16" t="n">
        <v>4</v>
      </c>
      <c r="F126" s="16" t="n">
        <v>3</v>
      </c>
      <c r="G126" s="16" t="n">
        <v>9</v>
      </c>
      <c r="H126" s="16" t="n">
        <v>7</v>
      </c>
      <c r="I126" s="16" t="n">
        <v>7</v>
      </c>
    </row>
    <row r="127" customFormat="false" ht="15" hidden="false" customHeight="true" outlineLevel="0" collapsed="false">
      <c r="A127" s="5" t="s">
        <v>208</v>
      </c>
      <c r="B127" s="16" t="n">
        <v>4</v>
      </c>
      <c r="C127" s="16" t="n">
        <v>3</v>
      </c>
      <c r="D127" s="16" t="n">
        <v>5</v>
      </c>
      <c r="E127" s="16" t="n">
        <v>13</v>
      </c>
      <c r="F127" s="16" t="n">
        <v>9</v>
      </c>
      <c r="G127" s="16" t="n">
        <v>7</v>
      </c>
      <c r="H127" s="16" t="n">
        <v>4</v>
      </c>
      <c r="I127" s="16" t="n">
        <v>12</v>
      </c>
    </row>
    <row r="128" customFormat="false" ht="15" hidden="false" customHeight="true" outlineLevel="0" collapsed="false">
      <c r="A128" s="5" t="s">
        <v>209</v>
      </c>
      <c r="B128" s="16" t="n">
        <v>3</v>
      </c>
      <c r="C128" s="16" t="n">
        <v>4</v>
      </c>
      <c r="D128" s="16" t="n">
        <v>2</v>
      </c>
      <c r="E128" s="16" t="n">
        <v>3</v>
      </c>
      <c r="F128" s="16" t="n">
        <v>5</v>
      </c>
      <c r="G128" s="16" t="n">
        <v>4</v>
      </c>
      <c r="H128" s="16" t="n">
        <v>9</v>
      </c>
      <c r="I128" s="16" t="n">
        <v>12</v>
      </c>
    </row>
    <row r="129" customFormat="false" ht="15" hidden="false" customHeight="true" outlineLevel="0" collapsed="false">
      <c r="A129" s="5" t="s">
        <v>210</v>
      </c>
      <c r="B129" s="16" t="n">
        <v>2</v>
      </c>
      <c r="C129" s="16" t="n">
        <v>7</v>
      </c>
      <c r="D129" s="16" t="n">
        <v>9</v>
      </c>
      <c r="E129" s="16" t="n">
        <v>5</v>
      </c>
      <c r="F129" s="16" t="n">
        <v>9</v>
      </c>
      <c r="G129" s="16" t="n">
        <v>7</v>
      </c>
      <c r="H129" s="16" t="n">
        <v>6</v>
      </c>
      <c r="I129" s="16" t="n">
        <v>6</v>
      </c>
    </row>
    <row r="130" customFormat="false" ht="15" hidden="false" customHeight="true" outlineLevel="0" collapsed="false">
      <c r="A130" s="5" t="s">
        <v>211</v>
      </c>
      <c r="B130" s="16" t="n">
        <v>6</v>
      </c>
      <c r="C130" s="16" t="n">
        <v>5</v>
      </c>
      <c r="D130" s="16" t="n">
        <v>9</v>
      </c>
      <c r="E130" s="16" t="n">
        <v>8</v>
      </c>
      <c r="F130" s="16" t="n">
        <v>12</v>
      </c>
      <c r="G130" s="16" t="n">
        <v>7</v>
      </c>
      <c r="H130" s="16" t="n">
        <v>5</v>
      </c>
      <c r="I130" s="16" t="n">
        <v>9</v>
      </c>
    </row>
    <row r="131" customFormat="false" ht="15" hidden="false" customHeight="true" outlineLevel="0" collapsed="false">
      <c r="A131" s="5" t="s">
        <v>212</v>
      </c>
      <c r="B131" s="16" t="n">
        <v>1</v>
      </c>
      <c r="C131" s="16" t="n">
        <v>0</v>
      </c>
      <c r="D131" s="16" t="n">
        <v>0</v>
      </c>
      <c r="E131" s="16" t="n">
        <v>0</v>
      </c>
      <c r="F131" s="16" t="n">
        <v>1</v>
      </c>
      <c r="G131" s="16" t="n">
        <v>0</v>
      </c>
      <c r="H131" s="16" t="n">
        <v>0</v>
      </c>
      <c r="I131" s="16" t="n">
        <v>1</v>
      </c>
    </row>
    <row r="132" customFormat="false" ht="15" hidden="false" customHeight="true" outlineLevel="0" collapsed="false">
      <c r="A132" s="5" t="s">
        <v>213</v>
      </c>
      <c r="B132" s="16" t="n">
        <v>3</v>
      </c>
      <c r="C132" s="16" t="n">
        <v>2</v>
      </c>
      <c r="D132" s="16" t="n">
        <v>1</v>
      </c>
      <c r="E132" s="16" t="n">
        <v>1</v>
      </c>
      <c r="F132" s="16" t="n">
        <v>0</v>
      </c>
      <c r="G132" s="16" t="n">
        <v>1</v>
      </c>
      <c r="H132" s="16" t="n">
        <v>4</v>
      </c>
      <c r="I132" s="16" t="n">
        <v>5</v>
      </c>
    </row>
    <row r="133" customFormat="false" ht="15" hidden="false" customHeight="true" outlineLevel="0" collapsed="false">
      <c r="A133" s="5" t="s">
        <v>214</v>
      </c>
      <c r="B133" s="16" t="n">
        <v>2</v>
      </c>
      <c r="C133" s="16" t="n">
        <v>0</v>
      </c>
      <c r="D133" s="16" t="n">
        <v>0</v>
      </c>
      <c r="E133" s="16" t="n">
        <v>0</v>
      </c>
      <c r="F133" s="16" t="n">
        <v>0</v>
      </c>
      <c r="G133" s="16" t="n">
        <v>4</v>
      </c>
      <c r="H133" s="16" t="n">
        <v>2</v>
      </c>
      <c r="I133" s="16" t="n">
        <v>4</v>
      </c>
    </row>
    <row r="134" customFormat="false" ht="15" hidden="false" customHeight="true" outlineLevel="0" collapsed="false">
      <c r="A134" s="5" t="s">
        <v>215</v>
      </c>
      <c r="B134" s="16" t="n">
        <v>2</v>
      </c>
      <c r="C134" s="16" t="n">
        <v>1</v>
      </c>
      <c r="D134" s="16" t="n">
        <v>3</v>
      </c>
      <c r="E134" s="16" t="n">
        <v>0</v>
      </c>
      <c r="F134" s="16" t="n">
        <v>1</v>
      </c>
      <c r="G134" s="16" t="n">
        <v>3</v>
      </c>
      <c r="H134" s="16" t="n">
        <v>1</v>
      </c>
      <c r="I134" s="16" t="n">
        <v>7</v>
      </c>
    </row>
    <row r="135" customFormat="false" ht="15" hidden="false" customHeight="true" outlineLevel="0" collapsed="false">
      <c r="A135" s="5" t="s">
        <v>216</v>
      </c>
      <c r="B135" s="16" t="n">
        <v>7</v>
      </c>
      <c r="C135" s="16" t="n">
        <v>3</v>
      </c>
      <c r="D135" s="16" t="n">
        <v>3</v>
      </c>
      <c r="E135" s="16" t="n">
        <v>3</v>
      </c>
      <c r="F135" s="16" t="n">
        <v>8</v>
      </c>
      <c r="G135" s="16" t="n">
        <v>8</v>
      </c>
      <c r="H135" s="16" t="n">
        <v>8</v>
      </c>
      <c r="I135" s="16" t="n">
        <v>6</v>
      </c>
    </row>
    <row r="136" customFormat="false" ht="15" hidden="false" customHeight="true" outlineLevel="0" collapsed="false">
      <c r="A136" s="5" t="s">
        <v>217</v>
      </c>
      <c r="B136" s="16" t="n">
        <v>7</v>
      </c>
      <c r="C136" s="16" t="n">
        <v>4</v>
      </c>
      <c r="D136" s="16" t="n">
        <v>5</v>
      </c>
      <c r="E136" s="16" t="n">
        <v>16</v>
      </c>
      <c r="F136" s="16" t="n">
        <v>6</v>
      </c>
      <c r="G136" s="16" t="n">
        <v>11</v>
      </c>
      <c r="H136" s="16" t="n">
        <v>9</v>
      </c>
      <c r="I136" s="16" t="n">
        <v>4</v>
      </c>
    </row>
    <row r="137" customFormat="false" ht="15" hidden="false" customHeight="true" outlineLevel="0" collapsed="false">
      <c r="A137" s="5" t="s">
        <v>218</v>
      </c>
      <c r="B137" s="16" t="n">
        <v>6</v>
      </c>
      <c r="C137" s="16" t="n">
        <v>7</v>
      </c>
      <c r="D137" s="16" t="n">
        <v>8</v>
      </c>
      <c r="E137" s="16" t="n">
        <v>6</v>
      </c>
      <c r="F137" s="16" t="n">
        <v>7</v>
      </c>
      <c r="G137" s="16" t="n">
        <v>8</v>
      </c>
      <c r="H137" s="16" t="n">
        <v>12</v>
      </c>
      <c r="I137" s="16" t="n">
        <v>8</v>
      </c>
    </row>
    <row r="138" customFormat="false" ht="15" hidden="false" customHeight="true" outlineLevel="0" collapsed="false">
      <c r="A138" s="5" t="s">
        <v>219</v>
      </c>
      <c r="B138" s="16" t="n">
        <v>5</v>
      </c>
      <c r="C138" s="16" t="n">
        <v>5</v>
      </c>
      <c r="D138" s="16" t="n">
        <v>4</v>
      </c>
      <c r="E138" s="16" t="n">
        <v>6</v>
      </c>
      <c r="F138" s="16" t="n">
        <v>6</v>
      </c>
      <c r="G138" s="16" t="n">
        <v>8</v>
      </c>
      <c r="H138" s="16" t="n">
        <v>9</v>
      </c>
      <c r="I138" s="16" t="n">
        <v>4</v>
      </c>
    </row>
    <row r="139" customFormat="false" ht="15" hidden="false" customHeight="true" outlineLevel="0" collapsed="false">
      <c r="A139" s="5" t="s">
        <v>220</v>
      </c>
      <c r="B139" s="16" t="n">
        <v>6</v>
      </c>
      <c r="C139" s="16" t="n">
        <v>10</v>
      </c>
      <c r="D139" s="16" t="n">
        <v>16</v>
      </c>
      <c r="E139" s="16" t="n">
        <v>15</v>
      </c>
      <c r="F139" s="16" t="n">
        <v>5</v>
      </c>
      <c r="G139" s="16" t="n">
        <v>9</v>
      </c>
      <c r="H139" s="16" t="n">
        <v>5</v>
      </c>
      <c r="I139" s="16" t="n">
        <v>8</v>
      </c>
    </row>
    <row r="140" customFormat="false" ht="15" hidden="false" customHeight="true" outlineLevel="0" collapsed="false">
      <c r="A140" s="5" t="s">
        <v>221</v>
      </c>
      <c r="B140" s="16" t="n">
        <v>4</v>
      </c>
      <c r="C140" s="16" t="n">
        <v>6</v>
      </c>
      <c r="D140" s="16" t="n">
        <v>9</v>
      </c>
      <c r="E140" s="16" t="n">
        <v>13</v>
      </c>
      <c r="F140" s="16" t="n">
        <v>6</v>
      </c>
      <c r="G140" s="16" t="n">
        <v>5</v>
      </c>
      <c r="H140" s="16" t="n">
        <v>3</v>
      </c>
      <c r="I140" s="16" t="n">
        <v>10</v>
      </c>
    </row>
    <row r="141" customFormat="false" ht="15" hidden="false" customHeight="true" outlineLevel="0" collapsed="false">
      <c r="A141" s="5" t="s">
        <v>222</v>
      </c>
      <c r="B141" s="16" t="n">
        <v>3</v>
      </c>
      <c r="C141" s="16" t="n">
        <v>7</v>
      </c>
      <c r="D141" s="16" t="n">
        <v>8</v>
      </c>
      <c r="E141" s="16" t="n">
        <v>4</v>
      </c>
      <c r="F141" s="16" t="n">
        <v>7</v>
      </c>
      <c r="G141" s="16" t="n">
        <v>8</v>
      </c>
      <c r="H141" s="16" t="n">
        <v>2</v>
      </c>
      <c r="I141" s="16" t="n">
        <v>9</v>
      </c>
    </row>
    <row r="142" customFormat="false" ht="15" hidden="false" customHeight="true" outlineLevel="0" collapsed="false">
      <c r="A142" s="5" t="s">
        <v>223</v>
      </c>
      <c r="B142" s="16" t="n">
        <v>6</v>
      </c>
      <c r="C142" s="16" t="n">
        <v>4</v>
      </c>
      <c r="D142" s="16" t="n">
        <v>7</v>
      </c>
      <c r="E142" s="16" t="n">
        <v>11</v>
      </c>
      <c r="F142" s="16" t="n">
        <v>9</v>
      </c>
      <c r="G142" s="16" t="n">
        <v>13</v>
      </c>
      <c r="H142" s="16" t="n">
        <v>5</v>
      </c>
      <c r="I142" s="16" t="n">
        <v>9</v>
      </c>
    </row>
    <row r="143" customFormat="false" ht="15" hidden="false" customHeight="true" outlineLevel="0" collapsed="false">
      <c r="A143" s="5" t="s">
        <v>224</v>
      </c>
      <c r="B143" s="16" t="n">
        <v>0</v>
      </c>
      <c r="C143" s="16" t="n">
        <v>6</v>
      </c>
      <c r="D143" s="16" t="n">
        <v>4</v>
      </c>
      <c r="E143" s="16" t="n">
        <v>7</v>
      </c>
      <c r="F143" s="16" t="n">
        <v>9</v>
      </c>
      <c r="G143" s="16" t="n">
        <v>5</v>
      </c>
      <c r="H143" s="16" t="n">
        <v>10</v>
      </c>
      <c r="I143" s="16" t="n">
        <v>8</v>
      </c>
    </row>
    <row r="144" customFormat="false" ht="15" hidden="false" customHeight="true" outlineLevel="0" collapsed="false">
      <c r="A144" s="5" t="s">
        <v>225</v>
      </c>
      <c r="B144" s="16" t="n">
        <v>6</v>
      </c>
      <c r="C144" s="16" t="n">
        <v>7</v>
      </c>
      <c r="D144" s="16" t="n">
        <v>4</v>
      </c>
      <c r="E144" s="16" t="n">
        <v>4</v>
      </c>
      <c r="F144" s="16" t="n">
        <v>12</v>
      </c>
      <c r="G144" s="16" t="n">
        <v>4</v>
      </c>
      <c r="H144" s="16" t="n">
        <v>5</v>
      </c>
      <c r="I144" s="16" t="n">
        <v>12</v>
      </c>
    </row>
    <row r="145" customFormat="false" ht="15" hidden="false" customHeight="true" outlineLevel="0" collapsed="false">
      <c r="A145" s="5" t="s">
        <v>226</v>
      </c>
      <c r="B145" s="16" t="n">
        <v>0</v>
      </c>
      <c r="C145" s="16" t="n">
        <v>0</v>
      </c>
      <c r="D145" s="16" t="n">
        <v>2</v>
      </c>
      <c r="E145" s="16" t="n">
        <v>2</v>
      </c>
      <c r="F145" s="16" t="n">
        <v>0</v>
      </c>
      <c r="G145" s="16" t="n">
        <v>0</v>
      </c>
      <c r="H145" s="16" t="n">
        <v>0</v>
      </c>
      <c r="I145" s="16" t="n">
        <v>1</v>
      </c>
    </row>
    <row r="146" customFormat="false" ht="15" hidden="false" customHeight="true" outlineLevel="0" collapsed="false">
      <c r="A146" s="5" t="s">
        <v>227</v>
      </c>
      <c r="B146" s="16" t="n">
        <v>1</v>
      </c>
      <c r="C146" s="16" t="n">
        <v>3</v>
      </c>
      <c r="D146" s="16" t="n">
        <v>2</v>
      </c>
      <c r="E146" s="16" t="n">
        <v>2</v>
      </c>
      <c r="F146" s="16" t="n">
        <v>1</v>
      </c>
      <c r="G146" s="16" t="n">
        <v>3</v>
      </c>
      <c r="H146" s="16" t="n">
        <v>2</v>
      </c>
      <c r="I146" s="16" t="n">
        <v>4</v>
      </c>
    </row>
    <row r="147" customFormat="false" ht="15" hidden="false" customHeight="true" outlineLevel="0" collapsed="false">
      <c r="A147" s="5" t="s">
        <v>228</v>
      </c>
      <c r="B147" s="16" t="n">
        <v>1</v>
      </c>
      <c r="C147" s="16" t="n">
        <v>2</v>
      </c>
      <c r="D147" s="16" t="n">
        <v>2</v>
      </c>
      <c r="E147" s="16" t="n">
        <v>0</v>
      </c>
      <c r="F147" s="16" t="n">
        <v>6</v>
      </c>
      <c r="G147" s="16" t="n">
        <v>4</v>
      </c>
      <c r="H147" s="16" t="n">
        <v>0</v>
      </c>
      <c r="I147" s="16" t="n">
        <v>2</v>
      </c>
    </row>
    <row r="148" customFormat="false" ht="15" hidden="false" customHeight="true" outlineLevel="0" collapsed="false">
      <c r="A148" s="5" t="s">
        <v>229</v>
      </c>
      <c r="B148" s="16" t="n">
        <v>5</v>
      </c>
      <c r="C148" s="16" t="n">
        <v>3</v>
      </c>
      <c r="D148" s="16" t="n">
        <v>4</v>
      </c>
      <c r="E148" s="16" t="n">
        <v>6</v>
      </c>
      <c r="F148" s="16" t="n">
        <v>5</v>
      </c>
      <c r="G148" s="16" t="n">
        <v>8</v>
      </c>
      <c r="H148" s="16" t="n">
        <v>5</v>
      </c>
      <c r="I148" s="16" t="n">
        <v>5</v>
      </c>
    </row>
    <row r="149" customFormat="false" ht="15" hidden="false" customHeight="true" outlineLevel="0" collapsed="false">
      <c r="A149" s="5" t="s">
        <v>230</v>
      </c>
      <c r="B149" s="16" t="n">
        <v>5</v>
      </c>
      <c r="C149" s="16" t="n">
        <v>5</v>
      </c>
      <c r="D149" s="16" t="n">
        <v>7</v>
      </c>
      <c r="E149" s="16" t="n">
        <v>11</v>
      </c>
      <c r="F149" s="16" t="n">
        <v>10</v>
      </c>
      <c r="G149" s="16" t="n">
        <v>8</v>
      </c>
      <c r="H149" s="16" t="n">
        <v>8</v>
      </c>
      <c r="I149" s="16" t="n">
        <v>7</v>
      </c>
    </row>
    <row r="150" customFormat="false" ht="15" hidden="false" customHeight="true" outlineLevel="0" collapsed="false">
      <c r="A150" s="5" t="s">
        <v>231</v>
      </c>
      <c r="B150" s="16" t="n">
        <v>2</v>
      </c>
      <c r="C150" s="16" t="n">
        <v>2</v>
      </c>
      <c r="D150" s="16" t="n">
        <v>7</v>
      </c>
      <c r="E150" s="16" t="n">
        <v>4</v>
      </c>
      <c r="F150" s="16" t="n">
        <v>9</v>
      </c>
      <c r="G150" s="16" t="n">
        <v>3</v>
      </c>
      <c r="H150" s="16" t="n">
        <v>5</v>
      </c>
      <c r="I150" s="16" t="n">
        <v>5</v>
      </c>
    </row>
    <row r="151" customFormat="false" ht="15" hidden="false" customHeight="true" outlineLevel="0" collapsed="false">
      <c r="A151" s="5" t="s">
        <v>232</v>
      </c>
      <c r="B151" s="16" t="n">
        <v>4</v>
      </c>
      <c r="C151" s="16" t="n">
        <v>4</v>
      </c>
      <c r="D151" s="16" t="n">
        <v>5</v>
      </c>
      <c r="E151" s="16" t="n">
        <v>5</v>
      </c>
      <c r="F151" s="16" t="n">
        <v>6</v>
      </c>
      <c r="G151" s="16" t="n">
        <v>6</v>
      </c>
      <c r="H151" s="16" t="n">
        <v>12</v>
      </c>
      <c r="I151" s="16" t="n">
        <v>15</v>
      </c>
    </row>
    <row r="152" customFormat="false" ht="15" hidden="false" customHeight="true" outlineLevel="0" collapsed="false">
      <c r="A152" s="5" t="s">
        <v>233</v>
      </c>
      <c r="B152" s="16" t="n">
        <v>5</v>
      </c>
      <c r="C152" s="16" t="n">
        <v>5</v>
      </c>
      <c r="D152" s="16" t="n">
        <v>6</v>
      </c>
      <c r="E152" s="16" t="n">
        <v>7</v>
      </c>
      <c r="F152" s="16" t="n">
        <v>13</v>
      </c>
      <c r="G152" s="16" t="n">
        <v>9</v>
      </c>
      <c r="H152" s="16" t="n">
        <v>6</v>
      </c>
      <c r="I152" s="16" t="n">
        <v>10</v>
      </c>
    </row>
    <row r="153" customFormat="false" ht="15" hidden="false" customHeight="true" outlineLevel="0" collapsed="false">
      <c r="A153" s="5" t="s">
        <v>234</v>
      </c>
      <c r="B153" s="16" t="n">
        <v>4</v>
      </c>
      <c r="C153" s="16" t="n">
        <v>6</v>
      </c>
      <c r="D153" s="16" t="n">
        <v>10</v>
      </c>
      <c r="E153" s="16" t="n">
        <v>1</v>
      </c>
      <c r="F153" s="16" t="n">
        <v>8</v>
      </c>
      <c r="G153" s="16" t="n">
        <v>8</v>
      </c>
      <c r="H153" s="16" t="n">
        <v>9</v>
      </c>
      <c r="I153" s="16" t="n">
        <v>13</v>
      </c>
    </row>
    <row r="154" customFormat="false" ht="15" hidden="false" customHeight="true" outlineLevel="0" collapsed="false">
      <c r="A154" s="5" t="s">
        <v>235</v>
      </c>
      <c r="B154" s="16" t="n">
        <v>5</v>
      </c>
      <c r="C154" s="16" t="n">
        <v>8</v>
      </c>
      <c r="D154" s="16" t="n">
        <v>5</v>
      </c>
      <c r="E154" s="16" t="n">
        <v>8</v>
      </c>
      <c r="F154" s="16" t="n">
        <v>11</v>
      </c>
      <c r="G154" s="16" t="n">
        <v>12</v>
      </c>
      <c r="H154" s="16" t="n">
        <v>9</v>
      </c>
      <c r="I154" s="16" t="n">
        <v>4</v>
      </c>
    </row>
    <row r="155" customFormat="false" ht="15" hidden="false" customHeight="true" outlineLevel="0" collapsed="false">
      <c r="A155" s="5" t="s">
        <v>236</v>
      </c>
      <c r="B155" s="16" t="n">
        <v>7</v>
      </c>
      <c r="C155" s="16" t="n">
        <v>9</v>
      </c>
      <c r="D155" s="16" t="n">
        <v>2</v>
      </c>
      <c r="E155" s="16" t="n">
        <v>6</v>
      </c>
      <c r="F155" s="16" t="n">
        <v>8</v>
      </c>
      <c r="G155" s="16" t="n">
        <v>4</v>
      </c>
      <c r="H155" s="16" t="n">
        <v>7</v>
      </c>
      <c r="I155" s="16" t="n">
        <v>4</v>
      </c>
    </row>
    <row r="156" customFormat="false" ht="15" hidden="false" customHeight="true" outlineLevel="0" collapsed="false">
      <c r="A156" s="5" t="s">
        <v>237</v>
      </c>
      <c r="B156" s="16" t="n">
        <v>2</v>
      </c>
      <c r="C156" s="16" t="n">
        <v>11</v>
      </c>
      <c r="D156" s="16" t="n">
        <v>12</v>
      </c>
      <c r="E156" s="16" t="n">
        <v>9</v>
      </c>
      <c r="F156" s="16" t="n">
        <v>5</v>
      </c>
      <c r="G156" s="16" t="n">
        <v>4</v>
      </c>
      <c r="H156" s="16" t="n">
        <v>2</v>
      </c>
      <c r="I156" s="16" t="n">
        <v>11</v>
      </c>
    </row>
    <row r="157" customFormat="false" ht="15" hidden="false" customHeight="true" outlineLevel="0" collapsed="false">
      <c r="A157" s="5" t="s">
        <v>238</v>
      </c>
      <c r="B157" s="16" t="n">
        <v>8</v>
      </c>
      <c r="C157" s="16" t="n">
        <v>3</v>
      </c>
      <c r="D157" s="16" t="n">
        <v>3</v>
      </c>
      <c r="E157" s="16" t="n">
        <v>3</v>
      </c>
      <c r="F157" s="16" t="n">
        <v>4</v>
      </c>
      <c r="G157" s="16" t="n">
        <v>9</v>
      </c>
      <c r="H157" s="16" t="n">
        <v>5</v>
      </c>
      <c r="I157" s="16" t="n">
        <v>7</v>
      </c>
    </row>
    <row r="158" customFormat="false" ht="15" hidden="false" customHeight="true" outlineLevel="0" collapsed="false">
      <c r="A158" s="5" t="s">
        <v>239</v>
      </c>
      <c r="B158" s="16" t="n">
        <v>6</v>
      </c>
      <c r="C158" s="16" t="n">
        <v>7</v>
      </c>
      <c r="D158" s="16" t="n">
        <v>9</v>
      </c>
      <c r="E158" s="16" t="n">
        <v>5</v>
      </c>
      <c r="F158" s="16" t="n">
        <v>9</v>
      </c>
      <c r="G158" s="16" t="n">
        <v>10</v>
      </c>
      <c r="H158" s="16" t="n">
        <v>10</v>
      </c>
      <c r="I158" s="16" t="n">
        <v>6</v>
      </c>
    </row>
    <row r="159" customFormat="false" ht="15" hidden="false" customHeight="true" outlineLevel="0" collapsed="false">
      <c r="A159" s="5" t="s">
        <v>240</v>
      </c>
      <c r="B159" s="16" t="n">
        <v>0</v>
      </c>
      <c r="C159" s="16" t="n">
        <v>0</v>
      </c>
      <c r="D159" s="16" t="n">
        <v>2</v>
      </c>
      <c r="E159" s="16" t="n">
        <v>2</v>
      </c>
      <c r="F159" s="16" t="n">
        <v>0</v>
      </c>
      <c r="G159" s="16" t="n">
        <v>3</v>
      </c>
      <c r="H159" s="16" t="n">
        <v>1</v>
      </c>
      <c r="I159" s="16" t="n">
        <v>4</v>
      </c>
    </row>
    <row r="160" customFormat="false" ht="15" hidden="false" customHeight="true" outlineLevel="0" collapsed="false">
      <c r="A160" s="5" t="s">
        <v>241</v>
      </c>
      <c r="B160" s="16" t="n">
        <v>5</v>
      </c>
      <c r="C160" s="16" t="n">
        <v>1</v>
      </c>
      <c r="D160" s="16" t="n">
        <v>3</v>
      </c>
      <c r="E160" s="16" t="n">
        <v>3</v>
      </c>
      <c r="F160" s="16" t="n">
        <v>3</v>
      </c>
      <c r="G160" s="16" t="n">
        <v>0</v>
      </c>
      <c r="H160" s="16" t="n">
        <v>1</v>
      </c>
      <c r="I160" s="16" t="n">
        <v>2</v>
      </c>
    </row>
    <row r="161" customFormat="false" ht="15" hidden="false" customHeight="true" outlineLevel="0" collapsed="false">
      <c r="A161" s="5" t="s">
        <v>242</v>
      </c>
      <c r="B161" s="16" t="n">
        <v>4</v>
      </c>
      <c r="C161" s="16" t="n">
        <v>5</v>
      </c>
      <c r="D161" s="16" t="n">
        <v>5</v>
      </c>
      <c r="E161" s="16" t="n">
        <v>1</v>
      </c>
      <c r="F161" s="16" t="n">
        <v>8</v>
      </c>
      <c r="G161" s="16" t="n">
        <v>7</v>
      </c>
      <c r="H161" s="16" t="n">
        <v>4</v>
      </c>
      <c r="I161" s="16" t="n">
        <v>11</v>
      </c>
    </row>
    <row r="162" customFormat="false" ht="15" hidden="false" customHeight="true" outlineLevel="0" collapsed="false">
      <c r="A162" s="5" t="s">
        <v>243</v>
      </c>
      <c r="B162" s="16" t="n">
        <v>1</v>
      </c>
      <c r="C162" s="16" t="n">
        <v>4</v>
      </c>
      <c r="D162" s="16" t="n">
        <v>6</v>
      </c>
      <c r="E162" s="16" t="n">
        <v>9</v>
      </c>
      <c r="F162" s="16" t="n">
        <v>4</v>
      </c>
      <c r="G162" s="16" t="n">
        <v>10</v>
      </c>
      <c r="H162" s="16" t="n">
        <v>6</v>
      </c>
      <c r="I162" s="16" t="n">
        <v>7</v>
      </c>
    </row>
    <row r="163" customFormat="false" ht="15" hidden="false" customHeight="true" outlineLevel="0" collapsed="false">
      <c r="A163" s="5" t="s">
        <v>244</v>
      </c>
      <c r="B163" s="16" t="n">
        <v>5</v>
      </c>
      <c r="C163" s="16" t="n">
        <v>5</v>
      </c>
      <c r="D163" s="16" t="n">
        <v>10</v>
      </c>
      <c r="E163" s="16" t="n">
        <v>9</v>
      </c>
      <c r="F163" s="16" t="n">
        <v>6</v>
      </c>
      <c r="G163" s="16" t="n">
        <v>4</v>
      </c>
      <c r="H163" s="16" t="n">
        <v>11</v>
      </c>
      <c r="I163" s="16" t="n">
        <v>3</v>
      </c>
    </row>
    <row r="164" customFormat="false" ht="15" hidden="false" customHeight="true" outlineLevel="0" collapsed="false">
      <c r="A164" s="5" t="s">
        <v>245</v>
      </c>
      <c r="B164" s="16" t="n">
        <v>1</v>
      </c>
      <c r="C164" s="16" t="n">
        <v>7</v>
      </c>
      <c r="D164" s="16" t="n">
        <v>10</v>
      </c>
      <c r="E164" s="16" t="n">
        <v>9</v>
      </c>
      <c r="F164" s="16" t="n">
        <v>12</v>
      </c>
      <c r="G164" s="16" t="n">
        <v>5</v>
      </c>
      <c r="H164" s="16" t="n">
        <v>11</v>
      </c>
      <c r="I164" s="16" t="n">
        <v>12</v>
      </c>
    </row>
    <row r="165" customFormat="false" ht="15" hidden="false" customHeight="true" outlineLevel="0" collapsed="false">
      <c r="A165" s="5" t="s">
        <v>246</v>
      </c>
      <c r="B165" s="16" t="n">
        <v>3</v>
      </c>
      <c r="C165" s="16" t="n">
        <v>7</v>
      </c>
      <c r="D165" s="16" t="n">
        <v>6</v>
      </c>
      <c r="E165" s="16" t="n">
        <v>8</v>
      </c>
      <c r="F165" s="16" t="n">
        <v>3</v>
      </c>
      <c r="G165" s="16" t="n">
        <v>7</v>
      </c>
      <c r="H165" s="16" t="n">
        <v>7</v>
      </c>
      <c r="I165" s="16" t="n">
        <v>10</v>
      </c>
    </row>
    <row r="166" customFormat="false" ht="15" hidden="false" customHeight="true" outlineLevel="0" collapsed="false">
      <c r="A166" s="5" t="s">
        <v>247</v>
      </c>
      <c r="B166" s="16" t="n">
        <v>4</v>
      </c>
      <c r="C166" s="16" t="n">
        <v>9</v>
      </c>
      <c r="D166" s="16" t="n">
        <v>9</v>
      </c>
      <c r="E166" s="16" t="n">
        <v>9</v>
      </c>
      <c r="F166" s="16" t="n">
        <v>10</v>
      </c>
      <c r="G166" s="16" t="n">
        <v>9</v>
      </c>
      <c r="H166" s="16" t="n">
        <v>6</v>
      </c>
      <c r="I166" s="16" t="n">
        <v>9</v>
      </c>
    </row>
    <row r="167" customFormat="false" ht="15" hidden="false" customHeight="true" outlineLevel="0" collapsed="false">
      <c r="A167" s="5" t="s">
        <v>248</v>
      </c>
      <c r="B167" s="16" t="n">
        <v>3</v>
      </c>
      <c r="C167" s="16" t="n">
        <v>5</v>
      </c>
      <c r="D167" s="16" t="n">
        <v>10</v>
      </c>
      <c r="E167" s="16" t="n">
        <v>7</v>
      </c>
      <c r="F167" s="16" t="n">
        <v>6</v>
      </c>
      <c r="G167" s="16" t="n">
        <v>9</v>
      </c>
      <c r="H167" s="16" t="n">
        <v>8</v>
      </c>
      <c r="I167" s="16" t="n">
        <v>6</v>
      </c>
    </row>
    <row r="168" customFormat="false" ht="15" hidden="false" customHeight="true" outlineLevel="0" collapsed="false">
      <c r="A168" s="5" t="s">
        <v>249</v>
      </c>
      <c r="B168" s="16" t="n">
        <v>1</v>
      </c>
      <c r="C168" s="16" t="n">
        <v>5</v>
      </c>
      <c r="D168" s="16" t="n">
        <v>7</v>
      </c>
      <c r="E168" s="16" t="n">
        <v>6</v>
      </c>
      <c r="F168" s="16" t="n">
        <v>7</v>
      </c>
      <c r="G168" s="16" t="n">
        <v>5</v>
      </c>
      <c r="H168" s="16" t="n">
        <v>5</v>
      </c>
      <c r="I168" s="16" t="n">
        <v>12</v>
      </c>
    </row>
    <row r="169" customFormat="false" ht="15" hidden="false" customHeight="true" outlineLevel="0" collapsed="false">
      <c r="A169" s="5" t="s">
        <v>250</v>
      </c>
      <c r="B169" s="16" t="n">
        <v>4</v>
      </c>
      <c r="C169" s="16" t="n">
        <v>6</v>
      </c>
      <c r="D169" s="16" t="n">
        <v>9</v>
      </c>
      <c r="E169" s="16" t="n">
        <v>7</v>
      </c>
      <c r="F169" s="16" t="n">
        <v>10</v>
      </c>
      <c r="G169" s="16" t="n">
        <v>8</v>
      </c>
      <c r="H169" s="16" t="n">
        <v>8</v>
      </c>
      <c r="I169" s="16" t="n">
        <v>7</v>
      </c>
    </row>
    <row r="170" customFormat="false" ht="15" hidden="false" customHeight="true" outlineLevel="0" collapsed="false">
      <c r="A170" s="5" t="s">
        <v>251</v>
      </c>
      <c r="B170" s="16" t="n">
        <v>5</v>
      </c>
      <c r="C170" s="16" t="n">
        <v>5</v>
      </c>
      <c r="D170" s="16" t="n">
        <v>7</v>
      </c>
      <c r="E170" s="16" t="n">
        <v>7</v>
      </c>
      <c r="F170" s="16" t="n">
        <v>10</v>
      </c>
      <c r="G170" s="16" t="n">
        <v>9</v>
      </c>
      <c r="H170" s="16" t="n">
        <v>9</v>
      </c>
      <c r="I170" s="16" t="n">
        <v>9</v>
      </c>
    </row>
    <row r="171" customFormat="false" ht="15" hidden="false" customHeight="true" outlineLevel="0" collapsed="false">
      <c r="A171" s="5" t="s">
        <v>252</v>
      </c>
      <c r="B171" s="16" t="n">
        <v>4</v>
      </c>
      <c r="C171" s="16" t="n">
        <v>8</v>
      </c>
      <c r="D171" s="16" t="n">
        <v>12</v>
      </c>
      <c r="E171" s="16" t="n">
        <v>6</v>
      </c>
      <c r="F171" s="16" t="n">
        <v>7</v>
      </c>
      <c r="G171" s="16" t="n">
        <v>8</v>
      </c>
      <c r="H171" s="16" t="n">
        <v>10</v>
      </c>
      <c r="I171" s="16" t="n">
        <v>9</v>
      </c>
    </row>
    <row r="172" customFormat="false" ht="15" hidden="false" customHeight="true" outlineLevel="0" collapsed="false">
      <c r="A172" s="5" t="s">
        <v>253</v>
      </c>
      <c r="B172" s="16" t="n">
        <v>6</v>
      </c>
      <c r="C172" s="16" t="n">
        <v>8</v>
      </c>
      <c r="D172" s="16" t="n">
        <v>4</v>
      </c>
      <c r="E172" s="16" t="n">
        <v>5</v>
      </c>
      <c r="F172" s="16" t="n">
        <v>8</v>
      </c>
      <c r="G172" s="16" t="n">
        <v>12</v>
      </c>
      <c r="H172" s="16" t="n">
        <v>8</v>
      </c>
      <c r="I172" s="16" t="n">
        <v>8</v>
      </c>
    </row>
    <row r="173" customFormat="false" ht="15" hidden="false" customHeight="true" outlineLevel="0" collapsed="false">
      <c r="A173" s="5" t="s">
        <v>254</v>
      </c>
      <c r="B173" s="16" t="n">
        <v>4</v>
      </c>
      <c r="C173" s="16" t="n">
        <v>0</v>
      </c>
      <c r="D173" s="16" t="n">
        <v>3</v>
      </c>
      <c r="E173" s="16" t="n">
        <v>3</v>
      </c>
      <c r="F173" s="16" t="n">
        <v>2</v>
      </c>
      <c r="G173" s="16" t="n">
        <v>2</v>
      </c>
      <c r="H173" s="16" t="n">
        <v>0</v>
      </c>
      <c r="I173" s="16" t="n">
        <v>3</v>
      </c>
    </row>
  </sheetData>
  <conditionalFormatting sqref="B5:B173">
    <cfRule type="colorScale" priority="2">
      <colorScale>
        <cfvo type="num" val="0"/>
        <cfvo type="num" val="12"/>
        <color rgb="FFFFFFFF"/>
        <color rgb="FF7FA8D9"/>
      </colorScale>
    </cfRule>
  </conditionalFormatting>
  <conditionalFormatting sqref="C5:C173">
    <cfRule type="colorScale" priority="3">
      <colorScale>
        <cfvo type="num" val="0"/>
        <cfvo type="num" val="12"/>
        <color rgb="FFFFFFFF"/>
        <color rgb="FF7FA8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8"/>
    <col collapsed="false" customWidth="true" hidden="false" outlineLevel="0" max="7" min="7" style="0" width="44"/>
    <col collapsed="false" customWidth="true" hidden="false" outlineLevel="0" max="11" min="8" style="0" width="9"/>
  </cols>
  <sheetData>
    <row r="1" customFormat="false" ht="17.35" hidden="false" customHeight="false" outlineLevel="0" collapsed="false">
      <c r="A1" s="20" t="s">
        <v>275</v>
      </c>
    </row>
    <row r="2" customFormat="false" ht="15" hidden="false" customHeight="false" outlineLevel="0" collapsed="false">
      <c r="A2" s="21" t="s">
        <v>276</v>
      </c>
    </row>
    <row r="4" customFormat="false" ht="15" hidden="false" customHeight="false" outlineLevel="0" collapsed="false">
      <c r="A4" s="4" t="s">
        <v>77</v>
      </c>
      <c r="B4" s="4" t="s">
        <v>38</v>
      </c>
      <c r="C4" s="4" t="s">
        <v>39</v>
      </c>
      <c r="D4" s="4" t="s">
        <v>40</v>
      </c>
      <c r="E4" s="4" t="s">
        <v>41</v>
      </c>
      <c r="G4" s="22" t="s">
        <v>277</v>
      </c>
    </row>
    <row r="5" customFormat="false" ht="15" hidden="false" customHeight="false" outlineLevel="0" collapsed="false">
      <c r="A5" s="23" t="s">
        <v>86</v>
      </c>
      <c r="B5" s="24" t="n">
        <v>0</v>
      </c>
      <c r="C5" s="24" t="n">
        <v>0</v>
      </c>
      <c r="D5" s="24" t="n">
        <v>0</v>
      </c>
      <c r="E5" s="24" t="n">
        <v>0</v>
      </c>
      <c r="G5" s="4"/>
      <c r="H5" s="4" t="s">
        <v>38</v>
      </c>
      <c r="I5" s="4" t="s">
        <v>39</v>
      </c>
      <c r="J5" s="4" t="s">
        <v>40</v>
      </c>
      <c r="K5" s="4" t="s">
        <v>41</v>
      </c>
    </row>
    <row r="6" customFormat="false" ht="15" hidden="false" customHeight="false" outlineLevel="0" collapsed="false">
      <c r="A6" s="23" t="s">
        <v>87</v>
      </c>
      <c r="B6" s="24" t="n">
        <v>0</v>
      </c>
      <c r="C6" s="24" t="n">
        <v>0</v>
      </c>
      <c r="D6" s="24" t="n">
        <v>0</v>
      </c>
      <c r="E6" s="24" t="n">
        <v>0</v>
      </c>
      <c r="G6" s="25" t="s">
        <v>267</v>
      </c>
      <c r="H6" s="26" t="n">
        <f aca="false">SUM(B5:B173)</f>
        <v>1740</v>
      </c>
      <c r="I6" s="26" t="n">
        <f aca="false">SUM(C5:C173)</f>
        <v>2158</v>
      </c>
      <c r="J6" s="26" t="n">
        <f aca="false">SUM(D5:D173)</f>
        <v>2313</v>
      </c>
      <c r="K6" s="26" t="n">
        <f aca="false">SUM(E5:E173)</f>
        <v>2265</v>
      </c>
    </row>
    <row r="7" customFormat="false" ht="15" hidden="false" customHeight="false" outlineLevel="0" collapsed="false">
      <c r="A7" s="23" t="s">
        <v>88</v>
      </c>
      <c r="B7" s="24" t="n">
        <v>0</v>
      </c>
      <c r="C7" s="24" t="n">
        <v>0</v>
      </c>
      <c r="D7" s="24" t="n">
        <v>0</v>
      </c>
      <c r="E7" s="24" t="n">
        <v>0</v>
      </c>
      <c r="G7" s="25" t="s">
        <v>268</v>
      </c>
      <c r="H7" s="26" t="n">
        <f aca="false">SUMPRODUCT((Maos_por_spot!$D$5:$D$173&gt;=0.8)*B5:B173)</f>
        <v>22</v>
      </c>
      <c r="I7" s="26" t="n">
        <f aca="false">SUMPRODUCT((Maos_por_spot!$H$5:$H$173&gt;=0.8)*C5:C173)</f>
        <v>27</v>
      </c>
      <c r="J7" s="26" t="n">
        <f aca="false">SUMPRODUCT((Maos_por_spot!$L$5:$L$173&gt;=0.8)*D5:D173)</f>
        <v>126</v>
      </c>
      <c r="K7" s="26" t="n">
        <f aca="false">SUMPRODUCT((Maos_por_spot!$P$5:$P$173&gt;=0.8)*E5:E173)</f>
        <v>169</v>
      </c>
    </row>
    <row r="8" customFormat="false" ht="15" hidden="false" customHeight="false" outlineLevel="0" collapsed="false">
      <c r="A8" s="23" t="s">
        <v>89</v>
      </c>
      <c r="B8" s="24" t="n">
        <v>0</v>
      </c>
      <c r="C8" s="24" t="n">
        <v>0</v>
      </c>
      <c r="D8" s="24" t="n">
        <v>0</v>
      </c>
      <c r="E8" s="24" t="n">
        <v>0</v>
      </c>
      <c r="G8" s="25" t="s">
        <v>269</v>
      </c>
      <c r="H8" s="26" t="n">
        <f aca="false">SUMPRODUCT((Maos_por_spot!$D$5:$D$173&gt;=0.3)*(Maos_por_spot!$D$5:$D$173&lt;0.8)*B5:B173)</f>
        <v>6</v>
      </c>
      <c r="I8" s="26" t="n">
        <f aca="false">SUMPRODUCT((Maos_por_spot!$H$5:$H$173&gt;=0.3)*(Maos_por_spot!$H$5:$H$173&lt;0.8)*C5:C173)</f>
        <v>35</v>
      </c>
      <c r="J8" s="26" t="n">
        <f aca="false">SUMPRODUCT((Maos_por_spot!$L$5:$L$173&gt;=0.3)*(Maos_por_spot!$L$5:$L$173&lt;0.8)*D5:D173)</f>
        <v>51</v>
      </c>
      <c r="K8" s="26" t="n">
        <f aca="false">SUMPRODUCT((Maos_por_spot!$P$5:$P$173&gt;=0.3)*(Maos_por_spot!$P$5:$P$173&lt;0.8)*E5:E173)</f>
        <v>35</v>
      </c>
    </row>
    <row r="9" customFormat="false" ht="15" hidden="false" customHeight="false" outlineLevel="0" collapsed="false">
      <c r="A9" s="23" t="s">
        <v>90</v>
      </c>
      <c r="B9" s="24" t="n">
        <v>0</v>
      </c>
      <c r="C9" s="24" t="n">
        <v>0</v>
      </c>
      <c r="D9" s="24" t="n">
        <v>0</v>
      </c>
      <c r="E9" s="24" t="n">
        <v>0</v>
      </c>
      <c r="G9" s="25" t="s">
        <v>270</v>
      </c>
      <c r="H9" s="26" t="n">
        <f aca="false">SUMPRODUCT((Maos_por_spot!$D$5:$D$173&lt;0.3)*B5:B173)</f>
        <v>1712</v>
      </c>
      <c r="I9" s="26" t="n">
        <f aca="false">SUMPRODUCT((Maos_por_spot!$H$5:$H$173&lt;0.3)*C5:C173)</f>
        <v>2096</v>
      </c>
      <c r="J9" s="26" t="n">
        <f aca="false">SUMPRODUCT((Maos_por_spot!$L$5:$L$173&lt;0.3)*D5:D173)</f>
        <v>2136</v>
      </c>
      <c r="K9" s="26" t="n">
        <f aca="false">SUMPRODUCT((Maos_por_spot!$P$5:$P$173&lt;0.3)*E5:E173)</f>
        <v>2061</v>
      </c>
    </row>
    <row r="10" customFormat="false" ht="15" hidden="false" customHeight="false" outlineLevel="0" collapsed="false">
      <c r="A10" s="23" t="s">
        <v>91</v>
      </c>
      <c r="B10" s="24" t="n">
        <v>0</v>
      </c>
      <c r="C10" s="24" t="n">
        <v>0</v>
      </c>
      <c r="D10" s="24" t="n">
        <v>1</v>
      </c>
      <c r="E10" s="24" t="n">
        <v>0</v>
      </c>
      <c r="G10" s="25" t="s">
        <v>278</v>
      </c>
      <c r="H10" s="27" t="n">
        <f aca="false">H7/H6</f>
        <v>0.0126436781609195</v>
      </c>
      <c r="I10" s="27" t="n">
        <f aca="false">I7/I6</f>
        <v>0.0125115848007414</v>
      </c>
      <c r="J10" s="27" t="n">
        <f aca="false">J7/J6</f>
        <v>0.0544747081712062</v>
      </c>
      <c r="K10" s="27" t="n">
        <f aca="false">K7/K6</f>
        <v>0.0746136865342163</v>
      </c>
    </row>
    <row r="11" customFormat="false" ht="15" hidden="false" customHeight="false" outlineLevel="0" collapsed="false">
      <c r="A11" s="23" t="s">
        <v>92</v>
      </c>
      <c r="B11" s="24" t="n">
        <v>2</v>
      </c>
      <c r="C11" s="24" t="n">
        <v>1</v>
      </c>
      <c r="D11" s="24" t="n">
        <v>0</v>
      </c>
      <c r="E11" s="24" t="n">
        <v>0</v>
      </c>
    </row>
    <row r="12" customFormat="false" ht="15" hidden="false" customHeight="false" outlineLevel="0" collapsed="false">
      <c r="A12" s="23" t="s">
        <v>93</v>
      </c>
      <c r="B12" s="24" t="n">
        <v>1</v>
      </c>
      <c r="C12" s="24" t="n">
        <v>0</v>
      </c>
      <c r="D12" s="24" t="n">
        <v>0</v>
      </c>
      <c r="E12" s="24" t="n">
        <v>1</v>
      </c>
      <c r="G12" s="22" t="s">
        <v>279</v>
      </c>
    </row>
    <row r="13" customFormat="false" ht="15" hidden="false" customHeight="false" outlineLevel="0" collapsed="false">
      <c r="A13" s="23" t="s">
        <v>94</v>
      </c>
      <c r="B13" s="24" t="n">
        <v>0</v>
      </c>
      <c r="C13" s="24" t="n">
        <v>2</v>
      </c>
      <c r="D13" s="24" t="n">
        <v>0</v>
      </c>
      <c r="E13" s="24" t="n">
        <v>0</v>
      </c>
      <c r="G13" s="4"/>
      <c r="H13" s="4" t="s">
        <v>38</v>
      </c>
      <c r="I13" s="4" t="s">
        <v>39</v>
      </c>
      <c r="J13" s="4" t="s">
        <v>40</v>
      </c>
      <c r="K13" s="4" t="s">
        <v>41</v>
      </c>
    </row>
    <row r="14" customFormat="false" ht="15" hidden="false" customHeight="false" outlineLevel="0" collapsed="false">
      <c r="A14" s="23" t="s">
        <v>95</v>
      </c>
      <c r="B14" s="24" t="n">
        <v>3</v>
      </c>
      <c r="C14" s="24" t="n">
        <v>2</v>
      </c>
      <c r="D14" s="24" t="n">
        <v>1</v>
      </c>
      <c r="E14" s="24" t="n">
        <v>0</v>
      </c>
      <c r="G14" s="25" t="s">
        <v>280</v>
      </c>
      <c r="H14" s="28" t="n">
        <v>0.07</v>
      </c>
      <c r="I14" s="28" t="n">
        <v>0.095</v>
      </c>
      <c r="J14" s="28" t="n">
        <v>0.1</v>
      </c>
      <c r="K14" s="28" t="n">
        <v>0.12</v>
      </c>
    </row>
    <row r="15" customFormat="false" ht="15" hidden="false" customHeight="false" outlineLevel="0" collapsed="false">
      <c r="A15" s="23" t="s">
        <v>96</v>
      </c>
      <c r="B15" s="24" t="n">
        <v>3</v>
      </c>
      <c r="C15" s="24" t="n">
        <v>3</v>
      </c>
      <c r="D15" s="24" t="n">
        <v>1</v>
      </c>
      <c r="E15" s="24" t="n">
        <v>0</v>
      </c>
      <c r="G15" s="25" t="s">
        <v>281</v>
      </c>
      <c r="H15" s="29" t="n">
        <f aca="false">Resumo!D5</f>
        <v>0.055</v>
      </c>
      <c r="I15" s="29" t="n">
        <f aca="false">Resumo!D6</f>
        <v>0.08</v>
      </c>
      <c r="J15" s="29" t="n">
        <f aca="false">Resumo!D7</f>
        <v>0.151</v>
      </c>
      <c r="K15" s="29" t="n">
        <f aca="false">Resumo!D8</f>
        <v>0.116</v>
      </c>
    </row>
    <row r="16" customFormat="false" ht="15" hidden="false" customHeight="false" outlineLevel="0" collapsed="false">
      <c r="A16" s="23" t="s">
        <v>97</v>
      </c>
      <c r="B16" s="24" t="n">
        <v>8</v>
      </c>
      <c r="C16" s="24" t="n">
        <v>8</v>
      </c>
      <c r="D16" s="24" t="n">
        <v>1</v>
      </c>
      <c r="E16" s="24" t="n">
        <v>0</v>
      </c>
      <c r="G16" s="25" t="s">
        <v>282</v>
      </c>
      <c r="H16" s="30" t="n">
        <f aca="false">H14-H15</f>
        <v>0.015</v>
      </c>
      <c r="I16" s="30" t="n">
        <f aca="false">I14-I15</f>
        <v>0.015</v>
      </c>
      <c r="J16" s="30" t="n">
        <f aca="false">J14-J15</f>
        <v>-0.051</v>
      </c>
      <c r="K16" s="30" t="n">
        <f aca="false">K14-K15</f>
        <v>0.00399999999999999</v>
      </c>
    </row>
    <row r="17" customFormat="false" ht="15" hidden="false" customHeight="false" outlineLevel="0" collapsed="false">
      <c r="A17" s="23" t="s">
        <v>98</v>
      </c>
      <c r="B17" s="24" t="n">
        <v>5</v>
      </c>
      <c r="C17" s="24" t="n">
        <v>4</v>
      </c>
      <c r="D17" s="24" t="n">
        <v>4</v>
      </c>
      <c r="E17" s="24" t="n">
        <v>1</v>
      </c>
      <c r="G17" s="25" t="s">
        <v>283</v>
      </c>
      <c r="H17" s="31" t="n">
        <v>-2.1</v>
      </c>
      <c r="I17" s="31" t="n">
        <v>1.1</v>
      </c>
      <c r="J17" s="31" t="n">
        <v>2.4</v>
      </c>
      <c r="K17" s="31" t="n">
        <v>0.77</v>
      </c>
    </row>
    <row r="18" customFormat="false" ht="15" hidden="false" customHeight="false" outlineLevel="0" collapsed="false">
      <c r="A18" s="23" t="s">
        <v>99</v>
      </c>
      <c r="B18" s="24" t="n">
        <v>0</v>
      </c>
      <c r="C18" s="24" t="n">
        <v>0</v>
      </c>
      <c r="D18" s="24" t="n">
        <v>0</v>
      </c>
      <c r="E18" s="24" t="n">
        <v>1</v>
      </c>
    </row>
    <row r="19" customFormat="false" ht="15" hidden="false" customHeight="false" outlineLevel="0" collapsed="false">
      <c r="A19" s="23" t="s">
        <v>100</v>
      </c>
      <c r="B19" s="24" t="n">
        <v>0</v>
      </c>
      <c r="C19" s="24" t="n">
        <v>0</v>
      </c>
      <c r="D19" s="24" t="n">
        <v>0</v>
      </c>
      <c r="E19" s="24" t="n">
        <v>0</v>
      </c>
      <c r="G19" s="21" t="s">
        <v>284</v>
      </c>
    </row>
    <row r="20" customFormat="false" ht="15" hidden="false" customHeight="false" outlineLevel="0" collapsed="false">
      <c r="A20" s="23" t="s">
        <v>101</v>
      </c>
      <c r="B20" s="24" t="n">
        <v>0</v>
      </c>
      <c r="C20" s="24" t="n">
        <v>0</v>
      </c>
      <c r="D20" s="24" t="n">
        <v>0</v>
      </c>
      <c r="E20" s="24" t="n">
        <v>0</v>
      </c>
    </row>
    <row r="21" customFormat="false" ht="15" hidden="false" customHeight="false" outlineLevel="0" collapsed="false">
      <c r="A21" s="23" t="s">
        <v>102</v>
      </c>
      <c r="B21" s="24" t="n">
        <v>0</v>
      </c>
      <c r="C21" s="24" t="n">
        <v>0</v>
      </c>
      <c r="D21" s="24" t="n">
        <v>0</v>
      </c>
      <c r="E21" s="24" t="n">
        <v>0</v>
      </c>
    </row>
    <row r="22" customFormat="false" ht="15" hidden="false" customHeight="false" outlineLevel="0" collapsed="false">
      <c r="A22" s="23" t="s">
        <v>103</v>
      </c>
      <c r="B22" s="24" t="n">
        <v>0</v>
      </c>
      <c r="C22" s="24" t="n">
        <v>0</v>
      </c>
      <c r="D22" s="24" t="n">
        <v>0</v>
      </c>
      <c r="E22" s="24" t="n">
        <v>0</v>
      </c>
    </row>
    <row r="23" customFormat="false" ht="15" hidden="false" customHeight="false" outlineLevel="0" collapsed="false">
      <c r="A23" s="23" t="s">
        <v>104</v>
      </c>
      <c r="B23" s="24" t="n">
        <v>0</v>
      </c>
      <c r="C23" s="24" t="n">
        <v>1</v>
      </c>
      <c r="D23" s="24" t="n">
        <v>1</v>
      </c>
      <c r="E23" s="24" t="n">
        <v>1</v>
      </c>
    </row>
    <row r="24" customFormat="false" ht="15" hidden="false" customHeight="false" outlineLevel="0" collapsed="false">
      <c r="A24" s="23" t="s">
        <v>105</v>
      </c>
      <c r="B24" s="24" t="n">
        <v>2</v>
      </c>
      <c r="C24" s="24" t="n">
        <v>8</v>
      </c>
      <c r="D24" s="24" t="n">
        <v>2</v>
      </c>
      <c r="E24" s="24" t="n">
        <v>1</v>
      </c>
    </row>
    <row r="25" customFormat="false" ht="15" hidden="false" customHeight="false" outlineLevel="0" collapsed="false">
      <c r="A25" s="23" t="s">
        <v>106</v>
      </c>
      <c r="B25" s="24" t="n">
        <v>5</v>
      </c>
      <c r="C25" s="24" t="n">
        <v>2</v>
      </c>
      <c r="D25" s="24" t="n">
        <v>4</v>
      </c>
      <c r="E25" s="24" t="n">
        <v>0</v>
      </c>
    </row>
    <row r="26" customFormat="false" ht="15" hidden="false" customHeight="false" outlineLevel="0" collapsed="false">
      <c r="A26" s="23" t="s">
        <v>107</v>
      </c>
      <c r="B26" s="24" t="n">
        <v>5</v>
      </c>
      <c r="C26" s="24" t="n">
        <v>7</v>
      </c>
      <c r="D26" s="24" t="n">
        <v>8</v>
      </c>
      <c r="E26" s="24" t="n">
        <v>4</v>
      </c>
    </row>
    <row r="27" customFormat="false" ht="15" hidden="false" customHeight="false" outlineLevel="0" collapsed="false">
      <c r="A27" s="23" t="s">
        <v>108</v>
      </c>
      <c r="B27" s="24" t="n">
        <v>11</v>
      </c>
      <c r="C27" s="24" t="n">
        <v>7</v>
      </c>
      <c r="D27" s="24" t="n">
        <v>8</v>
      </c>
      <c r="E27" s="24" t="n">
        <v>9</v>
      </c>
    </row>
    <row r="28" customFormat="false" ht="15" hidden="false" customHeight="false" outlineLevel="0" collapsed="false">
      <c r="A28" s="23" t="s">
        <v>109</v>
      </c>
      <c r="B28" s="24" t="n">
        <v>9</v>
      </c>
      <c r="C28" s="24" t="n">
        <v>4</v>
      </c>
      <c r="D28" s="24" t="n">
        <v>7</v>
      </c>
      <c r="E28" s="24" t="n">
        <v>3</v>
      </c>
    </row>
    <row r="29" customFormat="false" ht="15" hidden="false" customHeight="false" outlineLevel="0" collapsed="false">
      <c r="A29" s="23" t="s">
        <v>110</v>
      </c>
      <c r="B29" s="24" t="n">
        <v>7</v>
      </c>
      <c r="C29" s="24" t="n">
        <v>9</v>
      </c>
      <c r="D29" s="24" t="n">
        <v>15</v>
      </c>
      <c r="E29" s="24" t="n">
        <v>6</v>
      </c>
    </row>
    <row r="30" customFormat="false" ht="15" hidden="false" customHeight="false" outlineLevel="0" collapsed="false">
      <c r="A30" s="23" t="s">
        <v>111</v>
      </c>
      <c r="B30" s="24" t="n">
        <v>4</v>
      </c>
      <c r="C30" s="24" t="n">
        <v>5</v>
      </c>
      <c r="D30" s="24" t="n">
        <v>9</v>
      </c>
      <c r="E30" s="24" t="n">
        <v>10</v>
      </c>
    </row>
    <row r="31" customFormat="false" ht="15" hidden="false" customHeight="false" outlineLevel="0" collapsed="false">
      <c r="A31" s="23" t="s">
        <v>112</v>
      </c>
      <c r="B31" s="24" t="n">
        <v>1</v>
      </c>
      <c r="C31" s="24" t="n">
        <v>0</v>
      </c>
      <c r="D31" s="24" t="n">
        <v>0</v>
      </c>
      <c r="E31" s="24" t="n">
        <v>0</v>
      </c>
    </row>
    <row r="32" customFormat="false" ht="15" hidden="false" customHeight="false" outlineLevel="0" collapsed="false">
      <c r="A32" s="23" t="s">
        <v>113</v>
      </c>
      <c r="B32" s="24" t="n">
        <v>6</v>
      </c>
      <c r="C32" s="24" t="n">
        <v>2</v>
      </c>
      <c r="D32" s="24" t="n">
        <v>1</v>
      </c>
      <c r="E32" s="24" t="n">
        <v>1</v>
      </c>
    </row>
    <row r="33" customFormat="false" ht="15" hidden="false" customHeight="false" outlineLevel="0" collapsed="false">
      <c r="A33" s="23" t="s">
        <v>114</v>
      </c>
      <c r="B33" s="24" t="n">
        <v>0</v>
      </c>
      <c r="C33" s="24" t="n">
        <v>0</v>
      </c>
      <c r="D33" s="24" t="n">
        <v>0</v>
      </c>
      <c r="E33" s="24" t="n">
        <v>0</v>
      </c>
    </row>
    <row r="34" customFormat="false" ht="15" hidden="false" customHeight="false" outlineLevel="0" collapsed="false">
      <c r="A34" s="23" t="s">
        <v>115</v>
      </c>
      <c r="B34" s="24" t="n">
        <v>2</v>
      </c>
      <c r="C34" s="24" t="n">
        <v>1</v>
      </c>
      <c r="D34" s="24" t="n">
        <v>0</v>
      </c>
      <c r="E34" s="24" t="n">
        <v>0</v>
      </c>
    </row>
    <row r="35" customFormat="false" ht="15" hidden="false" customHeight="false" outlineLevel="0" collapsed="false">
      <c r="A35" s="23" t="s">
        <v>116</v>
      </c>
      <c r="B35" s="24" t="n">
        <v>0</v>
      </c>
      <c r="C35" s="24" t="n">
        <v>1</v>
      </c>
      <c r="D35" s="24" t="n">
        <v>1</v>
      </c>
      <c r="E35" s="24" t="n">
        <v>0</v>
      </c>
    </row>
    <row r="36" customFormat="false" ht="15" hidden="false" customHeight="false" outlineLevel="0" collapsed="false">
      <c r="A36" s="23" t="s">
        <v>117</v>
      </c>
      <c r="B36" s="24" t="n">
        <v>3</v>
      </c>
      <c r="C36" s="24" t="n">
        <v>0</v>
      </c>
      <c r="D36" s="24" t="n">
        <v>1</v>
      </c>
      <c r="E36" s="24" t="n">
        <v>1</v>
      </c>
    </row>
    <row r="37" customFormat="false" ht="15" hidden="false" customHeight="false" outlineLevel="0" collapsed="false">
      <c r="A37" s="23" t="s">
        <v>118</v>
      </c>
      <c r="B37" s="24" t="n">
        <v>5</v>
      </c>
      <c r="C37" s="24" t="n">
        <v>5</v>
      </c>
      <c r="D37" s="24" t="n">
        <v>9</v>
      </c>
      <c r="E37" s="24" t="n">
        <v>5</v>
      </c>
    </row>
    <row r="38" customFormat="false" ht="15" hidden="false" customHeight="false" outlineLevel="0" collapsed="false">
      <c r="A38" s="23" t="s">
        <v>119</v>
      </c>
      <c r="B38" s="24" t="n">
        <v>10</v>
      </c>
      <c r="C38" s="24" t="n">
        <v>10</v>
      </c>
      <c r="D38" s="24" t="n">
        <v>10</v>
      </c>
      <c r="E38" s="24" t="n">
        <v>10</v>
      </c>
    </row>
    <row r="39" customFormat="false" ht="15" hidden="false" customHeight="false" outlineLevel="0" collapsed="false">
      <c r="A39" s="23" t="s">
        <v>120</v>
      </c>
      <c r="B39" s="24" t="n">
        <v>8</v>
      </c>
      <c r="C39" s="24" t="n">
        <v>12</v>
      </c>
      <c r="D39" s="24" t="n">
        <v>7</v>
      </c>
      <c r="E39" s="24" t="n">
        <v>5</v>
      </c>
    </row>
    <row r="40" customFormat="false" ht="15" hidden="false" customHeight="false" outlineLevel="0" collapsed="false">
      <c r="A40" s="23" t="s">
        <v>121</v>
      </c>
      <c r="B40" s="24" t="n">
        <v>7</v>
      </c>
      <c r="C40" s="24" t="n">
        <v>7</v>
      </c>
      <c r="D40" s="24" t="n">
        <v>6</v>
      </c>
      <c r="E40" s="24" t="n">
        <v>11</v>
      </c>
    </row>
    <row r="41" customFormat="false" ht="15" hidden="false" customHeight="false" outlineLevel="0" collapsed="false">
      <c r="A41" s="23" t="s">
        <v>122</v>
      </c>
      <c r="B41" s="24" t="n">
        <v>4</v>
      </c>
      <c r="C41" s="24" t="n">
        <v>8</v>
      </c>
      <c r="D41" s="24" t="n">
        <v>10</v>
      </c>
      <c r="E41" s="24" t="n">
        <v>12</v>
      </c>
    </row>
    <row r="42" customFormat="false" ht="15" hidden="false" customHeight="false" outlineLevel="0" collapsed="false">
      <c r="A42" s="23" t="s">
        <v>123</v>
      </c>
      <c r="B42" s="24" t="n">
        <v>6</v>
      </c>
      <c r="C42" s="24" t="n">
        <v>13</v>
      </c>
      <c r="D42" s="24" t="n">
        <v>6</v>
      </c>
      <c r="E42" s="24" t="n">
        <v>8</v>
      </c>
    </row>
    <row r="43" customFormat="false" ht="15" hidden="false" customHeight="false" outlineLevel="0" collapsed="false">
      <c r="A43" s="23" t="s">
        <v>124</v>
      </c>
      <c r="B43" s="24" t="n">
        <v>6</v>
      </c>
      <c r="C43" s="24" t="n">
        <v>12</v>
      </c>
      <c r="D43" s="24" t="n">
        <v>8</v>
      </c>
      <c r="E43" s="24" t="n">
        <v>11</v>
      </c>
    </row>
    <row r="44" customFormat="false" ht="15" hidden="false" customHeight="false" outlineLevel="0" collapsed="false">
      <c r="A44" s="23" t="s">
        <v>125</v>
      </c>
      <c r="B44" s="24" t="n">
        <v>1</v>
      </c>
      <c r="C44" s="24" t="n">
        <v>0</v>
      </c>
      <c r="D44" s="24" t="n">
        <v>0</v>
      </c>
      <c r="E44" s="24" t="n">
        <v>1</v>
      </c>
    </row>
    <row r="45" customFormat="false" ht="15" hidden="false" customHeight="false" outlineLevel="0" collapsed="false">
      <c r="A45" s="23" t="s">
        <v>126</v>
      </c>
      <c r="B45" s="24" t="n">
        <v>14</v>
      </c>
      <c r="C45" s="24" t="n">
        <v>7</v>
      </c>
      <c r="D45" s="24" t="n">
        <v>3</v>
      </c>
      <c r="E45" s="24" t="n">
        <v>2</v>
      </c>
    </row>
    <row r="46" customFormat="false" ht="15" hidden="false" customHeight="false" outlineLevel="0" collapsed="false">
      <c r="A46" s="23" t="s">
        <v>127</v>
      </c>
      <c r="B46" s="24" t="n">
        <v>22</v>
      </c>
      <c r="C46" s="24" t="n">
        <v>21</v>
      </c>
      <c r="D46" s="24" t="n">
        <v>13</v>
      </c>
      <c r="E46" s="24" t="n">
        <v>7</v>
      </c>
    </row>
    <row r="47" customFormat="false" ht="15" hidden="false" customHeight="false" outlineLevel="0" collapsed="false">
      <c r="A47" s="23" t="s">
        <v>128</v>
      </c>
      <c r="B47" s="24" t="n">
        <v>1</v>
      </c>
      <c r="C47" s="24" t="n">
        <v>0</v>
      </c>
      <c r="D47" s="24" t="n">
        <v>0</v>
      </c>
      <c r="E47" s="24" t="n">
        <v>0</v>
      </c>
    </row>
    <row r="48" customFormat="false" ht="15" hidden="false" customHeight="false" outlineLevel="0" collapsed="false">
      <c r="A48" s="23" t="s">
        <v>129</v>
      </c>
      <c r="B48" s="24" t="n">
        <v>1</v>
      </c>
      <c r="C48" s="24" t="n">
        <v>4</v>
      </c>
      <c r="D48" s="24" t="n">
        <v>0</v>
      </c>
      <c r="E48" s="24" t="n">
        <v>0</v>
      </c>
    </row>
    <row r="49" customFormat="false" ht="15" hidden="false" customHeight="false" outlineLevel="0" collapsed="false">
      <c r="A49" s="23" t="s">
        <v>130</v>
      </c>
      <c r="B49" s="24" t="n">
        <v>3</v>
      </c>
      <c r="C49" s="24" t="n">
        <v>4</v>
      </c>
      <c r="D49" s="24" t="n">
        <v>3</v>
      </c>
      <c r="E49" s="24" t="n">
        <v>0</v>
      </c>
    </row>
    <row r="50" customFormat="false" ht="15" hidden="false" customHeight="false" outlineLevel="0" collapsed="false">
      <c r="A50" s="23" t="s">
        <v>131</v>
      </c>
      <c r="B50" s="24" t="n">
        <v>7</v>
      </c>
      <c r="C50" s="24" t="n">
        <v>5</v>
      </c>
      <c r="D50" s="24" t="n">
        <v>4</v>
      </c>
      <c r="E50" s="24" t="n">
        <v>2</v>
      </c>
    </row>
    <row r="51" customFormat="false" ht="15" hidden="false" customHeight="false" outlineLevel="0" collapsed="false">
      <c r="A51" s="23" t="s">
        <v>132</v>
      </c>
      <c r="B51" s="24" t="n">
        <v>1</v>
      </c>
      <c r="C51" s="24" t="n">
        <v>6</v>
      </c>
      <c r="D51" s="24" t="n">
        <v>13</v>
      </c>
      <c r="E51" s="24" t="n">
        <v>8</v>
      </c>
    </row>
    <row r="52" customFormat="false" ht="15" hidden="false" customHeight="false" outlineLevel="0" collapsed="false">
      <c r="A52" s="23" t="s">
        <v>133</v>
      </c>
      <c r="B52" s="24" t="n">
        <v>5</v>
      </c>
      <c r="C52" s="24" t="n">
        <v>3</v>
      </c>
      <c r="D52" s="24" t="n">
        <v>8</v>
      </c>
      <c r="E52" s="24" t="n">
        <v>5</v>
      </c>
    </row>
    <row r="53" customFormat="false" ht="15" hidden="false" customHeight="false" outlineLevel="0" collapsed="false">
      <c r="A53" s="23" t="s">
        <v>134</v>
      </c>
      <c r="B53" s="24" t="n">
        <v>9</v>
      </c>
      <c r="C53" s="24" t="n">
        <v>8</v>
      </c>
      <c r="D53" s="24" t="n">
        <v>12</v>
      </c>
      <c r="E53" s="24" t="n">
        <v>9</v>
      </c>
    </row>
    <row r="54" customFormat="false" ht="15" hidden="false" customHeight="false" outlineLevel="0" collapsed="false">
      <c r="A54" s="23" t="s">
        <v>135</v>
      </c>
      <c r="B54" s="24" t="n">
        <v>8</v>
      </c>
      <c r="C54" s="24" t="n">
        <v>4</v>
      </c>
      <c r="D54" s="24" t="n">
        <v>11</v>
      </c>
      <c r="E54" s="24" t="n">
        <v>7</v>
      </c>
    </row>
    <row r="55" customFormat="false" ht="15" hidden="false" customHeight="false" outlineLevel="0" collapsed="false">
      <c r="A55" s="23" t="s">
        <v>136</v>
      </c>
      <c r="B55" s="24" t="n">
        <v>10</v>
      </c>
      <c r="C55" s="24" t="n">
        <v>12</v>
      </c>
      <c r="D55" s="24" t="n">
        <v>7</v>
      </c>
      <c r="E55" s="24" t="n">
        <v>7</v>
      </c>
    </row>
    <row r="56" customFormat="false" ht="15" hidden="false" customHeight="false" outlineLevel="0" collapsed="false">
      <c r="A56" s="23" t="s">
        <v>137</v>
      </c>
      <c r="B56" s="24" t="n">
        <v>8</v>
      </c>
      <c r="C56" s="24" t="n">
        <v>12</v>
      </c>
      <c r="D56" s="24" t="n">
        <v>6</v>
      </c>
      <c r="E56" s="24" t="n">
        <v>6</v>
      </c>
    </row>
    <row r="57" customFormat="false" ht="15" hidden="false" customHeight="false" outlineLevel="0" collapsed="false">
      <c r="A57" s="23" t="s">
        <v>138</v>
      </c>
      <c r="B57" s="24" t="n">
        <v>4</v>
      </c>
      <c r="C57" s="24" t="n">
        <v>2</v>
      </c>
      <c r="D57" s="24" t="n">
        <v>4</v>
      </c>
      <c r="E57" s="24" t="n">
        <v>3</v>
      </c>
    </row>
    <row r="58" customFormat="false" ht="15" hidden="false" customHeight="false" outlineLevel="0" collapsed="false">
      <c r="A58" s="23" t="s">
        <v>139</v>
      </c>
      <c r="B58" s="24" t="n">
        <v>20</v>
      </c>
      <c r="C58" s="24" t="n">
        <v>20</v>
      </c>
      <c r="D58" s="24" t="n">
        <v>11</v>
      </c>
      <c r="E58" s="24" t="n">
        <v>19</v>
      </c>
    </row>
    <row r="59" customFormat="false" ht="15" hidden="false" customHeight="false" outlineLevel="0" collapsed="false">
      <c r="A59" s="23" t="s">
        <v>140</v>
      </c>
      <c r="B59" s="24" t="n">
        <v>18</v>
      </c>
      <c r="C59" s="24" t="n">
        <v>22</v>
      </c>
      <c r="D59" s="24" t="n">
        <v>5</v>
      </c>
      <c r="E59" s="24" t="n">
        <v>12</v>
      </c>
    </row>
    <row r="60" customFormat="false" ht="15" hidden="false" customHeight="false" outlineLevel="0" collapsed="false">
      <c r="A60" s="23" t="s">
        <v>141</v>
      </c>
      <c r="B60" s="24" t="n">
        <v>13</v>
      </c>
      <c r="C60" s="24" t="n">
        <v>18</v>
      </c>
      <c r="D60" s="24" t="n">
        <v>21</v>
      </c>
      <c r="E60" s="24" t="n">
        <v>15</v>
      </c>
    </row>
    <row r="61" customFormat="false" ht="15" hidden="false" customHeight="false" outlineLevel="0" collapsed="false">
      <c r="A61" s="23" t="s">
        <v>142</v>
      </c>
      <c r="B61" s="24" t="n">
        <v>0</v>
      </c>
      <c r="C61" s="24" t="n">
        <v>0</v>
      </c>
      <c r="D61" s="24" t="n">
        <v>0</v>
      </c>
      <c r="E61" s="24" t="n">
        <v>0</v>
      </c>
    </row>
    <row r="62" customFormat="false" ht="15" hidden="false" customHeight="false" outlineLevel="0" collapsed="false">
      <c r="A62" s="23" t="s">
        <v>143</v>
      </c>
      <c r="B62" s="24" t="n">
        <v>3</v>
      </c>
      <c r="C62" s="24" t="n">
        <v>0</v>
      </c>
      <c r="D62" s="24" t="n">
        <v>3</v>
      </c>
      <c r="E62" s="24" t="n">
        <v>1</v>
      </c>
    </row>
    <row r="63" customFormat="false" ht="15" hidden="false" customHeight="false" outlineLevel="0" collapsed="false">
      <c r="A63" s="23" t="s">
        <v>144</v>
      </c>
      <c r="B63" s="24" t="n">
        <v>9</v>
      </c>
      <c r="C63" s="24" t="n">
        <v>5</v>
      </c>
      <c r="D63" s="24" t="n">
        <v>7</v>
      </c>
      <c r="E63" s="24" t="n">
        <v>4</v>
      </c>
    </row>
    <row r="64" customFormat="false" ht="15" hidden="false" customHeight="false" outlineLevel="0" collapsed="false">
      <c r="A64" s="23" t="s">
        <v>145</v>
      </c>
      <c r="B64" s="24" t="n">
        <v>4</v>
      </c>
      <c r="C64" s="24" t="n">
        <v>7</v>
      </c>
      <c r="D64" s="24" t="n">
        <v>2</v>
      </c>
      <c r="E64" s="24" t="n">
        <v>6</v>
      </c>
    </row>
    <row r="65" customFormat="false" ht="15" hidden="false" customHeight="false" outlineLevel="0" collapsed="false">
      <c r="A65" s="23" t="s">
        <v>146</v>
      </c>
      <c r="B65" s="24" t="n">
        <v>17</v>
      </c>
      <c r="C65" s="24" t="n">
        <v>12</v>
      </c>
      <c r="D65" s="24" t="n">
        <v>6</v>
      </c>
      <c r="E65" s="24" t="n">
        <v>8</v>
      </c>
    </row>
    <row r="66" customFormat="false" ht="15" hidden="false" customHeight="false" outlineLevel="0" collapsed="false">
      <c r="A66" s="23" t="s">
        <v>147</v>
      </c>
      <c r="B66" s="24" t="n">
        <v>7</v>
      </c>
      <c r="C66" s="24" t="n">
        <v>5</v>
      </c>
      <c r="D66" s="24" t="n">
        <v>6</v>
      </c>
      <c r="E66" s="24" t="n">
        <v>8</v>
      </c>
    </row>
    <row r="67" customFormat="false" ht="15" hidden="false" customHeight="false" outlineLevel="0" collapsed="false">
      <c r="A67" s="23" t="s">
        <v>148</v>
      </c>
      <c r="B67" s="24" t="n">
        <v>6</v>
      </c>
      <c r="C67" s="24" t="n">
        <v>10</v>
      </c>
      <c r="D67" s="24" t="n">
        <v>11</v>
      </c>
      <c r="E67" s="24" t="n">
        <v>8</v>
      </c>
    </row>
    <row r="68" customFormat="false" ht="15" hidden="false" customHeight="false" outlineLevel="0" collapsed="false">
      <c r="A68" s="23" t="s">
        <v>149</v>
      </c>
      <c r="B68" s="24" t="n">
        <v>8</v>
      </c>
      <c r="C68" s="24" t="n">
        <v>2</v>
      </c>
      <c r="D68" s="24" t="n">
        <v>9</v>
      </c>
      <c r="E68" s="24" t="n">
        <v>6</v>
      </c>
    </row>
    <row r="69" customFormat="false" ht="15" hidden="false" customHeight="false" outlineLevel="0" collapsed="false">
      <c r="A69" s="23" t="s">
        <v>150</v>
      </c>
      <c r="B69" s="24" t="n">
        <v>5</v>
      </c>
      <c r="C69" s="24" t="n">
        <v>9</v>
      </c>
      <c r="D69" s="24" t="n">
        <v>7</v>
      </c>
      <c r="E69" s="24" t="n">
        <v>13</v>
      </c>
    </row>
    <row r="70" customFormat="false" ht="15" hidden="false" customHeight="false" outlineLevel="0" collapsed="false">
      <c r="A70" s="23" t="s">
        <v>151</v>
      </c>
      <c r="B70" s="24" t="n">
        <v>18</v>
      </c>
      <c r="C70" s="24" t="n">
        <v>18</v>
      </c>
      <c r="D70" s="24" t="n">
        <v>17</v>
      </c>
      <c r="E70" s="24" t="n">
        <v>12</v>
      </c>
    </row>
    <row r="71" customFormat="false" ht="15" hidden="false" customHeight="false" outlineLevel="0" collapsed="false">
      <c r="A71" s="23" t="s">
        <v>152</v>
      </c>
      <c r="B71" s="24" t="n">
        <v>13</v>
      </c>
      <c r="C71" s="24" t="n">
        <v>25</v>
      </c>
      <c r="D71" s="24" t="n">
        <v>33</v>
      </c>
      <c r="E71" s="24" t="n">
        <v>24</v>
      </c>
    </row>
    <row r="72" customFormat="false" ht="15" hidden="false" customHeight="false" outlineLevel="0" collapsed="false">
      <c r="A72" s="23" t="s">
        <v>153</v>
      </c>
      <c r="B72" s="24" t="n">
        <v>17</v>
      </c>
      <c r="C72" s="24" t="n">
        <v>20</v>
      </c>
      <c r="D72" s="24" t="n">
        <v>28</v>
      </c>
      <c r="E72" s="24" t="n">
        <v>35</v>
      </c>
    </row>
    <row r="73" customFormat="false" ht="15" hidden="false" customHeight="false" outlineLevel="0" collapsed="false">
      <c r="A73" s="23" t="s">
        <v>154</v>
      </c>
      <c r="B73" s="24" t="n">
        <v>20</v>
      </c>
      <c r="C73" s="24" t="n">
        <v>26</v>
      </c>
      <c r="D73" s="24" t="n">
        <v>29</v>
      </c>
      <c r="E73" s="24" t="n">
        <v>29</v>
      </c>
    </row>
    <row r="74" customFormat="false" ht="15" hidden="false" customHeight="false" outlineLevel="0" collapsed="false">
      <c r="A74" s="23" t="s">
        <v>155</v>
      </c>
      <c r="B74" s="24" t="n">
        <v>21</v>
      </c>
      <c r="C74" s="24" t="n">
        <v>18</v>
      </c>
      <c r="D74" s="24" t="n">
        <v>26</v>
      </c>
      <c r="E74" s="24" t="n">
        <v>21</v>
      </c>
    </row>
    <row r="75" customFormat="false" ht="15" hidden="false" customHeight="false" outlineLevel="0" collapsed="false">
      <c r="A75" s="23" t="s">
        <v>156</v>
      </c>
      <c r="B75" s="24" t="n">
        <v>0</v>
      </c>
      <c r="C75" s="24" t="n">
        <v>0</v>
      </c>
      <c r="D75" s="24" t="n">
        <v>0</v>
      </c>
      <c r="E75" s="24" t="n">
        <v>0</v>
      </c>
    </row>
    <row r="76" customFormat="false" ht="15" hidden="false" customHeight="false" outlineLevel="0" collapsed="false">
      <c r="A76" s="23" t="s">
        <v>157</v>
      </c>
      <c r="B76" s="24" t="n">
        <v>1</v>
      </c>
      <c r="C76" s="24" t="n">
        <v>2</v>
      </c>
      <c r="D76" s="24" t="n">
        <v>0</v>
      </c>
      <c r="E76" s="24" t="n">
        <v>1</v>
      </c>
    </row>
    <row r="77" customFormat="false" ht="15" hidden="false" customHeight="false" outlineLevel="0" collapsed="false">
      <c r="A77" s="23" t="s">
        <v>158</v>
      </c>
      <c r="B77" s="24" t="n">
        <v>2</v>
      </c>
      <c r="C77" s="24" t="n">
        <v>6</v>
      </c>
      <c r="D77" s="24" t="n">
        <v>3</v>
      </c>
      <c r="E77" s="24" t="n">
        <v>5</v>
      </c>
    </row>
    <row r="78" customFormat="false" ht="15" hidden="false" customHeight="false" outlineLevel="0" collapsed="false">
      <c r="A78" s="23" t="s">
        <v>159</v>
      </c>
      <c r="B78" s="24" t="n">
        <v>8</v>
      </c>
      <c r="C78" s="24" t="n">
        <v>5</v>
      </c>
      <c r="D78" s="24" t="n">
        <v>8</v>
      </c>
      <c r="E78" s="24" t="n">
        <v>5</v>
      </c>
    </row>
    <row r="79" customFormat="false" ht="15" hidden="false" customHeight="false" outlineLevel="0" collapsed="false">
      <c r="A79" s="23" t="s">
        <v>160</v>
      </c>
      <c r="B79" s="24" t="n">
        <v>5</v>
      </c>
      <c r="C79" s="24" t="n">
        <v>5</v>
      </c>
      <c r="D79" s="24" t="n">
        <v>5</v>
      </c>
      <c r="E79" s="24" t="n">
        <v>8</v>
      </c>
    </row>
    <row r="80" customFormat="false" ht="15" hidden="false" customHeight="false" outlineLevel="0" collapsed="false">
      <c r="A80" s="23" t="s">
        <v>161</v>
      </c>
      <c r="B80" s="24" t="n">
        <v>6</v>
      </c>
      <c r="C80" s="24" t="n">
        <v>6</v>
      </c>
      <c r="D80" s="24" t="n">
        <v>11</v>
      </c>
      <c r="E80" s="24" t="n">
        <v>7</v>
      </c>
    </row>
    <row r="81" customFormat="false" ht="15" hidden="false" customHeight="false" outlineLevel="0" collapsed="false">
      <c r="A81" s="23" t="s">
        <v>162</v>
      </c>
      <c r="B81" s="24" t="n">
        <v>9</v>
      </c>
      <c r="C81" s="24" t="n">
        <v>2</v>
      </c>
      <c r="D81" s="24" t="n">
        <v>8</v>
      </c>
      <c r="E81" s="24" t="n">
        <v>8</v>
      </c>
    </row>
    <row r="82" customFormat="false" ht="15" hidden="false" customHeight="false" outlineLevel="0" collapsed="false">
      <c r="A82" s="23" t="s">
        <v>163</v>
      </c>
      <c r="B82" s="24" t="n">
        <v>7</v>
      </c>
      <c r="C82" s="24" t="n">
        <v>15</v>
      </c>
      <c r="D82" s="24" t="n">
        <v>6</v>
      </c>
      <c r="E82" s="24" t="n">
        <v>8</v>
      </c>
    </row>
    <row r="83" customFormat="false" ht="15" hidden="false" customHeight="false" outlineLevel="0" collapsed="false">
      <c r="A83" s="23" t="s">
        <v>164</v>
      </c>
      <c r="B83" s="24" t="n">
        <v>14</v>
      </c>
      <c r="C83" s="24" t="n">
        <v>33</v>
      </c>
      <c r="D83" s="24" t="n">
        <v>33</v>
      </c>
      <c r="E83" s="24" t="n">
        <v>14</v>
      </c>
    </row>
    <row r="84" customFormat="false" ht="15" hidden="false" customHeight="false" outlineLevel="0" collapsed="false">
      <c r="A84" s="23" t="s">
        <v>165</v>
      </c>
      <c r="B84" s="24" t="n">
        <v>19</v>
      </c>
      <c r="C84" s="24" t="n">
        <v>22</v>
      </c>
      <c r="D84" s="24" t="n">
        <v>25</v>
      </c>
      <c r="E84" s="24" t="n">
        <v>25</v>
      </c>
    </row>
    <row r="85" customFormat="false" ht="15" hidden="false" customHeight="false" outlineLevel="0" collapsed="false">
      <c r="A85" s="23" t="s">
        <v>166</v>
      </c>
      <c r="B85" s="24" t="n">
        <v>14</v>
      </c>
      <c r="C85" s="24" t="n">
        <v>21</v>
      </c>
      <c r="D85" s="24" t="n">
        <v>29</v>
      </c>
      <c r="E85" s="24" t="n">
        <v>22</v>
      </c>
    </row>
    <row r="86" customFormat="false" ht="15" hidden="false" customHeight="false" outlineLevel="0" collapsed="false">
      <c r="A86" s="23" t="s">
        <v>167</v>
      </c>
      <c r="B86" s="24" t="n">
        <v>23</v>
      </c>
      <c r="C86" s="24" t="n">
        <v>21</v>
      </c>
      <c r="D86" s="24" t="n">
        <v>28</v>
      </c>
      <c r="E86" s="24" t="n">
        <v>30</v>
      </c>
    </row>
    <row r="87" customFormat="false" ht="15" hidden="false" customHeight="false" outlineLevel="0" collapsed="false">
      <c r="A87" s="23" t="s">
        <v>168</v>
      </c>
      <c r="B87" s="24" t="n">
        <v>16</v>
      </c>
      <c r="C87" s="24" t="n">
        <v>25</v>
      </c>
      <c r="D87" s="24" t="n">
        <v>35</v>
      </c>
      <c r="E87" s="24" t="n">
        <v>34</v>
      </c>
    </row>
    <row r="88" customFormat="false" ht="15" hidden="false" customHeight="false" outlineLevel="0" collapsed="false">
      <c r="A88" s="23" t="s">
        <v>169</v>
      </c>
      <c r="B88" s="24" t="n">
        <v>19</v>
      </c>
      <c r="C88" s="24" t="n">
        <v>35</v>
      </c>
      <c r="D88" s="24" t="n">
        <v>32</v>
      </c>
      <c r="E88" s="24" t="n">
        <v>23</v>
      </c>
    </row>
    <row r="89" customFormat="false" ht="15" hidden="false" customHeight="false" outlineLevel="0" collapsed="false">
      <c r="A89" s="23" t="s">
        <v>170</v>
      </c>
      <c r="B89" s="24" t="n">
        <v>0</v>
      </c>
      <c r="C89" s="24" t="n">
        <v>0</v>
      </c>
      <c r="D89" s="24" t="n">
        <v>0</v>
      </c>
      <c r="E89" s="24" t="n">
        <v>0</v>
      </c>
    </row>
    <row r="90" customFormat="false" ht="15" hidden="false" customHeight="false" outlineLevel="0" collapsed="false">
      <c r="A90" s="23" t="s">
        <v>171</v>
      </c>
      <c r="B90" s="24" t="n">
        <v>4</v>
      </c>
      <c r="C90" s="24" t="n">
        <v>7</v>
      </c>
      <c r="D90" s="24" t="n">
        <v>7</v>
      </c>
      <c r="E90" s="24" t="n">
        <v>6</v>
      </c>
    </row>
    <row r="91" customFormat="false" ht="15" hidden="false" customHeight="false" outlineLevel="0" collapsed="false">
      <c r="A91" s="23" t="s">
        <v>172</v>
      </c>
      <c r="B91" s="24" t="n">
        <v>6</v>
      </c>
      <c r="C91" s="24" t="n">
        <v>5</v>
      </c>
      <c r="D91" s="24" t="n">
        <v>10</v>
      </c>
      <c r="E91" s="24" t="n">
        <v>3</v>
      </c>
    </row>
    <row r="92" customFormat="false" ht="15" hidden="false" customHeight="false" outlineLevel="0" collapsed="false">
      <c r="A92" s="23" t="s">
        <v>173</v>
      </c>
      <c r="B92" s="24" t="n">
        <v>1</v>
      </c>
      <c r="C92" s="24" t="n">
        <v>5</v>
      </c>
      <c r="D92" s="24" t="n">
        <v>10</v>
      </c>
      <c r="E92" s="24" t="n">
        <v>8</v>
      </c>
    </row>
    <row r="93" customFormat="false" ht="15" hidden="false" customHeight="false" outlineLevel="0" collapsed="false">
      <c r="A93" s="23" t="s">
        <v>174</v>
      </c>
      <c r="B93" s="24" t="n">
        <v>4</v>
      </c>
      <c r="C93" s="24" t="n">
        <v>5</v>
      </c>
      <c r="D93" s="24" t="n">
        <v>11</v>
      </c>
      <c r="E93" s="24" t="n">
        <v>8</v>
      </c>
    </row>
    <row r="94" customFormat="false" ht="15" hidden="false" customHeight="false" outlineLevel="0" collapsed="false">
      <c r="A94" s="23" t="s">
        <v>175</v>
      </c>
      <c r="B94" s="24" t="n">
        <v>7</v>
      </c>
      <c r="C94" s="24" t="n">
        <v>5</v>
      </c>
      <c r="D94" s="24" t="n">
        <v>13</v>
      </c>
      <c r="E94" s="24" t="n">
        <v>12</v>
      </c>
    </row>
    <row r="95" customFormat="false" ht="15" hidden="false" customHeight="false" outlineLevel="0" collapsed="false">
      <c r="A95" s="23" t="s">
        <v>176</v>
      </c>
      <c r="B95" s="24" t="n">
        <v>7</v>
      </c>
      <c r="C95" s="24" t="n">
        <v>8</v>
      </c>
      <c r="D95" s="24" t="n">
        <v>10</v>
      </c>
      <c r="E95" s="24" t="n">
        <v>7</v>
      </c>
    </row>
    <row r="96" customFormat="false" ht="15" hidden="false" customHeight="false" outlineLevel="0" collapsed="false">
      <c r="A96" s="23" t="s">
        <v>177</v>
      </c>
      <c r="B96" s="24" t="n">
        <v>21</v>
      </c>
      <c r="C96" s="24" t="n">
        <v>18</v>
      </c>
      <c r="D96" s="24" t="n">
        <v>19</v>
      </c>
      <c r="E96" s="24" t="n">
        <v>21</v>
      </c>
    </row>
    <row r="97" customFormat="false" ht="15" hidden="false" customHeight="false" outlineLevel="0" collapsed="false">
      <c r="A97" s="23" t="s">
        <v>178</v>
      </c>
      <c r="B97" s="24" t="n">
        <v>15</v>
      </c>
      <c r="C97" s="24" t="n">
        <v>21</v>
      </c>
      <c r="D97" s="24" t="n">
        <v>25</v>
      </c>
      <c r="E97" s="24" t="n">
        <v>31</v>
      </c>
    </row>
    <row r="98" customFormat="false" ht="15" hidden="false" customHeight="false" outlineLevel="0" collapsed="false">
      <c r="A98" s="23" t="s">
        <v>179</v>
      </c>
      <c r="B98" s="24" t="n">
        <v>13</v>
      </c>
      <c r="C98" s="24" t="n">
        <v>21</v>
      </c>
      <c r="D98" s="24" t="n">
        <v>23</v>
      </c>
      <c r="E98" s="24" t="n">
        <v>20</v>
      </c>
    </row>
    <row r="99" customFormat="false" ht="15" hidden="false" customHeight="false" outlineLevel="0" collapsed="false">
      <c r="A99" s="23" t="s">
        <v>180</v>
      </c>
      <c r="B99" s="24" t="n">
        <v>16</v>
      </c>
      <c r="C99" s="24" t="n">
        <v>18</v>
      </c>
      <c r="D99" s="24" t="n">
        <v>24</v>
      </c>
      <c r="E99" s="24" t="n">
        <v>24</v>
      </c>
    </row>
    <row r="100" customFormat="false" ht="15" hidden="false" customHeight="false" outlineLevel="0" collapsed="false">
      <c r="A100" s="23" t="s">
        <v>181</v>
      </c>
      <c r="B100" s="24" t="n">
        <v>24</v>
      </c>
      <c r="C100" s="24" t="n">
        <v>20</v>
      </c>
      <c r="D100" s="24" t="n">
        <v>32</v>
      </c>
      <c r="E100" s="24" t="n">
        <v>25</v>
      </c>
    </row>
    <row r="101" customFormat="false" ht="15" hidden="false" customHeight="false" outlineLevel="0" collapsed="false">
      <c r="A101" s="23" t="s">
        <v>182</v>
      </c>
      <c r="B101" s="24" t="n">
        <v>23</v>
      </c>
      <c r="C101" s="24" t="n">
        <v>25</v>
      </c>
      <c r="D101" s="24" t="n">
        <v>34</v>
      </c>
      <c r="E101" s="24" t="n">
        <v>29</v>
      </c>
    </row>
    <row r="102" customFormat="false" ht="15" hidden="false" customHeight="false" outlineLevel="0" collapsed="false">
      <c r="A102" s="23" t="s">
        <v>183</v>
      </c>
      <c r="B102" s="24" t="n">
        <v>9</v>
      </c>
      <c r="C102" s="24" t="n">
        <v>32</v>
      </c>
      <c r="D102" s="24" t="n">
        <v>32</v>
      </c>
      <c r="E102" s="24" t="n">
        <v>25</v>
      </c>
    </row>
    <row r="103" customFormat="false" ht="15" hidden="false" customHeight="false" outlineLevel="0" collapsed="false">
      <c r="A103" s="23" t="s">
        <v>184</v>
      </c>
      <c r="B103" s="24" t="n">
        <v>2</v>
      </c>
      <c r="C103" s="24" t="n">
        <v>0</v>
      </c>
      <c r="D103" s="24" t="n">
        <v>1</v>
      </c>
      <c r="E103" s="24" t="n">
        <v>0</v>
      </c>
    </row>
    <row r="104" customFormat="false" ht="15" hidden="false" customHeight="false" outlineLevel="0" collapsed="false">
      <c r="A104" s="23" t="s">
        <v>185</v>
      </c>
      <c r="B104" s="24" t="n">
        <v>3</v>
      </c>
      <c r="C104" s="24" t="n">
        <v>3</v>
      </c>
      <c r="D104" s="24" t="n">
        <v>3</v>
      </c>
      <c r="E104" s="24" t="n">
        <v>5</v>
      </c>
    </row>
    <row r="105" customFormat="false" ht="15" hidden="false" customHeight="false" outlineLevel="0" collapsed="false">
      <c r="A105" s="23" t="s">
        <v>186</v>
      </c>
      <c r="B105" s="24" t="n">
        <v>11</v>
      </c>
      <c r="C105" s="24" t="n">
        <v>8</v>
      </c>
      <c r="D105" s="24" t="n">
        <v>9</v>
      </c>
      <c r="E105" s="24" t="n">
        <v>4</v>
      </c>
    </row>
    <row r="106" customFormat="false" ht="15" hidden="false" customHeight="false" outlineLevel="0" collapsed="false">
      <c r="A106" s="23" t="s">
        <v>187</v>
      </c>
      <c r="B106" s="24" t="n">
        <v>6</v>
      </c>
      <c r="C106" s="24" t="n">
        <v>8</v>
      </c>
      <c r="D106" s="24" t="n">
        <v>9</v>
      </c>
      <c r="E106" s="24" t="n">
        <v>6</v>
      </c>
    </row>
    <row r="107" customFormat="false" ht="15" hidden="false" customHeight="false" outlineLevel="0" collapsed="false">
      <c r="A107" s="23" t="s">
        <v>188</v>
      </c>
      <c r="B107" s="24" t="n">
        <v>7</v>
      </c>
      <c r="C107" s="24" t="n">
        <v>9</v>
      </c>
      <c r="D107" s="24" t="n">
        <v>13</v>
      </c>
      <c r="E107" s="24" t="n">
        <v>10</v>
      </c>
    </row>
    <row r="108" customFormat="false" ht="15" hidden="false" customHeight="false" outlineLevel="0" collapsed="false">
      <c r="A108" s="23" t="s">
        <v>189</v>
      </c>
      <c r="B108" s="24" t="n">
        <v>10</v>
      </c>
      <c r="C108" s="24" t="n">
        <v>8</v>
      </c>
      <c r="D108" s="24" t="n">
        <v>5</v>
      </c>
      <c r="E108" s="24" t="n">
        <v>7</v>
      </c>
    </row>
    <row r="109" customFormat="false" ht="15" hidden="false" customHeight="false" outlineLevel="0" collapsed="false">
      <c r="A109" s="23" t="s">
        <v>190</v>
      </c>
      <c r="B109" s="24" t="n">
        <v>22</v>
      </c>
      <c r="C109" s="24" t="n">
        <v>22</v>
      </c>
      <c r="D109" s="24" t="n">
        <v>28</v>
      </c>
      <c r="E109" s="24" t="n">
        <v>20</v>
      </c>
    </row>
    <row r="110" customFormat="false" ht="15" hidden="false" customHeight="false" outlineLevel="0" collapsed="false">
      <c r="A110" s="23" t="s">
        <v>191</v>
      </c>
      <c r="B110" s="24" t="n">
        <v>9</v>
      </c>
      <c r="C110" s="24" t="n">
        <v>21</v>
      </c>
      <c r="D110" s="24" t="n">
        <v>19</v>
      </c>
      <c r="E110" s="24" t="n">
        <v>35</v>
      </c>
    </row>
    <row r="111" customFormat="false" ht="15" hidden="false" customHeight="false" outlineLevel="0" collapsed="false">
      <c r="A111" s="23" t="s">
        <v>192</v>
      </c>
      <c r="B111" s="24" t="n">
        <v>10</v>
      </c>
      <c r="C111" s="24" t="n">
        <v>36</v>
      </c>
      <c r="D111" s="24" t="n">
        <v>29</v>
      </c>
      <c r="E111" s="24" t="n">
        <v>28</v>
      </c>
    </row>
    <row r="112" customFormat="false" ht="15" hidden="false" customHeight="false" outlineLevel="0" collapsed="false">
      <c r="A112" s="23" t="s">
        <v>193</v>
      </c>
      <c r="B112" s="24" t="n">
        <v>22</v>
      </c>
      <c r="C112" s="24" t="n">
        <v>26</v>
      </c>
      <c r="D112" s="24" t="n">
        <v>27</v>
      </c>
      <c r="E112" s="24" t="n">
        <v>28</v>
      </c>
    </row>
    <row r="113" customFormat="false" ht="15" hidden="false" customHeight="false" outlineLevel="0" collapsed="false">
      <c r="A113" s="23" t="s">
        <v>194</v>
      </c>
      <c r="B113" s="24" t="n">
        <v>23</v>
      </c>
      <c r="C113" s="24" t="n">
        <v>26</v>
      </c>
      <c r="D113" s="24" t="n">
        <v>23</v>
      </c>
      <c r="E113" s="24" t="n">
        <v>27</v>
      </c>
    </row>
    <row r="114" customFormat="false" ht="15" hidden="false" customHeight="false" outlineLevel="0" collapsed="false">
      <c r="A114" s="23" t="s">
        <v>195</v>
      </c>
      <c r="B114" s="24" t="n">
        <v>24</v>
      </c>
      <c r="C114" s="24" t="n">
        <v>25</v>
      </c>
      <c r="D114" s="24" t="n">
        <v>23</v>
      </c>
      <c r="E114" s="24" t="n">
        <v>29</v>
      </c>
    </row>
    <row r="115" customFormat="false" ht="15" hidden="false" customHeight="false" outlineLevel="0" collapsed="false">
      <c r="A115" s="23" t="s">
        <v>196</v>
      </c>
      <c r="B115" s="24" t="n">
        <v>19</v>
      </c>
      <c r="C115" s="24" t="n">
        <v>18</v>
      </c>
      <c r="D115" s="24" t="n">
        <v>21</v>
      </c>
      <c r="E115" s="24" t="n">
        <v>30</v>
      </c>
    </row>
    <row r="116" customFormat="false" ht="15" hidden="false" customHeight="false" outlineLevel="0" collapsed="false">
      <c r="A116" s="23" t="s">
        <v>197</v>
      </c>
      <c r="B116" s="24" t="n">
        <v>19</v>
      </c>
      <c r="C116" s="24" t="n">
        <v>22</v>
      </c>
      <c r="D116" s="24" t="n">
        <v>18</v>
      </c>
      <c r="E116" s="24" t="n">
        <v>35</v>
      </c>
    </row>
    <row r="117" customFormat="false" ht="15" hidden="false" customHeight="false" outlineLevel="0" collapsed="false">
      <c r="A117" s="23" t="s">
        <v>198</v>
      </c>
      <c r="B117" s="24" t="n">
        <v>1</v>
      </c>
      <c r="C117" s="24" t="n">
        <v>1</v>
      </c>
      <c r="D117" s="24" t="n">
        <v>0</v>
      </c>
      <c r="E117" s="24" t="n">
        <v>0</v>
      </c>
    </row>
    <row r="118" customFormat="false" ht="15" hidden="false" customHeight="false" outlineLevel="0" collapsed="false">
      <c r="A118" s="23" t="s">
        <v>199</v>
      </c>
      <c r="B118" s="24" t="n">
        <v>6</v>
      </c>
      <c r="C118" s="24" t="n">
        <v>2</v>
      </c>
      <c r="D118" s="24" t="n">
        <v>4</v>
      </c>
      <c r="E118" s="24" t="n">
        <v>4</v>
      </c>
    </row>
    <row r="119" customFormat="false" ht="15" hidden="false" customHeight="false" outlineLevel="0" collapsed="false">
      <c r="A119" s="23" t="s">
        <v>200</v>
      </c>
      <c r="B119" s="24" t="n">
        <v>7</v>
      </c>
      <c r="C119" s="24" t="n">
        <v>6</v>
      </c>
      <c r="D119" s="24" t="n">
        <v>9</v>
      </c>
      <c r="E119" s="24" t="n">
        <v>7</v>
      </c>
    </row>
    <row r="120" customFormat="false" ht="15" hidden="false" customHeight="false" outlineLevel="0" collapsed="false">
      <c r="A120" s="23" t="s">
        <v>201</v>
      </c>
      <c r="B120" s="24" t="n">
        <v>3</v>
      </c>
      <c r="C120" s="24" t="n">
        <v>4</v>
      </c>
      <c r="D120" s="24" t="n">
        <v>9</v>
      </c>
      <c r="E120" s="24" t="n">
        <v>14</v>
      </c>
    </row>
    <row r="121" customFormat="false" ht="15" hidden="false" customHeight="false" outlineLevel="0" collapsed="false">
      <c r="A121" s="23" t="s">
        <v>202</v>
      </c>
      <c r="B121" s="24" t="n">
        <v>6</v>
      </c>
      <c r="C121" s="24" t="n">
        <v>11</v>
      </c>
      <c r="D121" s="24" t="n">
        <v>12</v>
      </c>
      <c r="E121" s="24" t="n">
        <v>15</v>
      </c>
    </row>
    <row r="122" customFormat="false" ht="15" hidden="false" customHeight="false" outlineLevel="0" collapsed="false">
      <c r="A122" s="23" t="s">
        <v>203</v>
      </c>
      <c r="B122" s="24" t="n">
        <v>14</v>
      </c>
      <c r="C122" s="24" t="n">
        <v>29</v>
      </c>
      <c r="D122" s="24" t="n">
        <v>21</v>
      </c>
      <c r="E122" s="24" t="n">
        <v>24</v>
      </c>
    </row>
    <row r="123" customFormat="false" ht="15" hidden="false" customHeight="false" outlineLevel="0" collapsed="false">
      <c r="A123" s="23" t="s">
        <v>204</v>
      </c>
      <c r="B123" s="24" t="n">
        <v>20</v>
      </c>
      <c r="C123" s="24" t="n">
        <v>25</v>
      </c>
      <c r="D123" s="24" t="n">
        <v>19</v>
      </c>
      <c r="E123" s="24" t="n">
        <v>20</v>
      </c>
    </row>
    <row r="124" customFormat="false" ht="15" hidden="false" customHeight="false" outlineLevel="0" collapsed="false">
      <c r="A124" s="23" t="s">
        <v>205</v>
      </c>
      <c r="B124" s="24" t="n">
        <v>24</v>
      </c>
      <c r="C124" s="24" t="n">
        <v>21</v>
      </c>
      <c r="D124" s="24" t="n">
        <v>24</v>
      </c>
      <c r="E124" s="24" t="n">
        <v>32</v>
      </c>
    </row>
    <row r="125" customFormat="false" ht="15" hidden="false" customHeight="false" outlineLevel="0" collapsed="false">
      <c r="A125" s="23" t="s">
        <v>206</v>
      </c>
      <c r="B125" s="24" t="n">
        <v>17</v>
      </c>
      <c r="C125" s="24" t="n">
        <v>20</v>
      </c>
      <c r="D125" s="24" t="n">
        <v>22</v>
      </c>
      <c r="E125" s="24" t="n">
        <v>31</v>
      </c>
    </row>
    <row r="126" customFormat="false" ht="15" hidden="false" customHeight="false" outlineLevel="0" collapsed="false">
      <c r="A126" s="23" t="s">
        <v>207</v>
      </c>
      <c r="B126" s="24" t="n">
        <v>16</v>
      </c>
      <c r="C126" s="24" t="n">
        <v>26</v>
      </c>
      <c r="D126" s="24" t="n">
        <v>25</v>
      </c>
      <c r="E126" s="24" t="n">
        <v>23</v>
      </c>
    </row>
    <row r="127" customFormat="false" ht="15" hidden="false" customHeight="false" outlineLevel="0" collapsed="false">
      <c r="A127" s="23" t="s">
        <v>208</v>
      </c>
      <c r="B127" s="24" t="n">
        <v>10</v>
      </c>
      <c r="C127" s="24" t="n">
        <v>32</v>
      </c>
      <c r="D127" s="24" t="n">
        <v>25</v>
      </c>
      <c r="E127" s="24" t="n">
        <v>30</v>
      </c>
    </row>
    <row r="128" customFormat="false" ht="15" hidden="false" customHeight="false" outlineLevel="0" collapsed="false">
      <c r="A128" s="23" t="s">
        <v>209</v>
      </c>
      <c r="B128" s="24" t="n">
        <v>16</v>
      </c>
      <c r="C128" s="24" t="n">
        <v>16</v>
      </c>
      <c r="D128" s="24" t="n">
        <v>24</v>
      </c>
      <c r="E128" s="24" t="n">
        <v>28</v>
      </c>
    </row>
    <row r="129" customFormat="false" ht="15" hidden="false" customHeight="false" outlineLevel="0" collapsed="false">
      <c r="A129" s="23" t="s">
        <v>210</v>
      </c>
      <c r="B129" s="24" t="n">
        <v>19</v>
      </c>
      <c r="C129" s="24" t="n">
        <v>22</v>
      </c>
      <c r="D129" s="24" t="n">
        <v>29</v>
      </c>
      <c r="E129" s="24" t="n">
        <v>18</v>
      </c>
    </row>
    <row r="130" customFormat="false" ht="15" hidden="false" customHeight="false" outlineLevel="0" collapsed="false">
      <c r="A130" s="23" t="s">
        <v>211</v>
      </c>
      <c r="B130" s="24" t="n">
        <v>21</v>
      </c>
      <c r="C130" s="24" t="n">
        <v>35</v>
      </c>
      <c r="D130" s="24" t="n">
        <v>29</v>
      </c>
      <c r="E130" s="24" t="n">
        <v>24</v>
      </c>
    </row>
    <row r="131" customFormat="false" ht="15" hidden="false" customHeight="false" outlineLevel="0" collapsed="false">
      <c r="A131" s="23" t="s">
        <v>212</v>
      </c>
      <c r="B131" s="24" t="n">
        <v>1</v>
      </c>
      <c r="C131" s="24" t="n">
        <v>1</v>
      </c>
      <c r="D131" s="24" t="n">
        <v>1</v>
      </c>
      <c r="E131" s="24" t="n">
        <v>1</v>
      </c>
    </row>
    <row r="132" customFormat="false" ht="15" hidden="false" customHeight="false" outlineLevel="0" collapsed="false">
      <c r="A132" s="23" t="s">
        <v>213</v>
      </c>
      <c r="B132" s="24" t="n">
        <v>8</v>
      </c>
      <c r="C132" s="24" t="n">
        <v>3</v>
      </c>
      <c r="D132" s="24" t="n">
        <v>2</v>
      </c>
      <c r="E132" s="24" t="n">
        <v>10</v>
      </c>
    </row>
    <row r="133" customFormat="false" ht="15" hidden="false" customHeight="false" outlineLevel="0" collapsed="false">
      <c r="A133" s="23" t="s">
        <v>214</v>
      </c>
      <c r="B133" s="24" t="n">
        <v>7</v>
      </c>
      <c r="C133" s="24" t="n">
        <v>5</v>
      </c>
      <c r="D133" s="24" t="n">
        <v>8</v>
      </c>
      <c r="E133" s="24" t="n">
        <v>11</v>
      </c>
    </row>
    <row r="134" customFormat="false" ht="15" hidden="false" customHeight="false" outlineLevel="0" collapsed="false">
      <c r="A134" s="23" t="s">
        <v>215</v>
      </c>
      <c r="B134" s="24" t="n">
        <v>8</v>
      </c>
      <c r="C134" s="24" t="n">
        <v>7</v>
      </c>
      <c r="D134" s="24" t="n">
        <v>9</v>
      </c>
      <c r="E134" s="24" t="n">
        <v>10</v>
      </c>
    </row>
    <row r="135" customFormat="false" ht="15" hidden="false" customHeight="false" outlineLevel="0" collapsed="false">
      <c r="A135" s="23" t="s">
        <v>216</v>
      </c>
      <c r="B135" s="24" t="n">
        <v>20</v>
      </c>
      <c r="C135" s="24" t="n">
        <v>13</v>
      </c>
      <c r="D135" s="24" t="n">
        <v>34</v>
      </c>
      <c r="E135" s="24" t="n">
        <v>23</v>
      </c>
    </row>
    <row r="136" customFormat="false" ht="15" hidden="false" customHeight="false" outlineLevel="0" collapsed="false">
      <c r="A136" s="23" t="s">
        <v>217</v>
      </c>
      <c r="B136" s="24" t="n">
        <v>23</v>
      </c>
      <c r="C136" s="24" t="n">
        <v>32</v>
      </c>
      <c r="D136" s="24" t="n">
        <v>26</v>
      </c>
      <c r="E136" s="24" t="n">
        <v>23</v>
      </c>
    </row>
    <row r="137" customFormat="false" ht="15" hidden="false" customHeight="false" outlineLevel="0" collapsed="false">
      <c r="A137" s="23" t="s">
        <v>218</v>
      </c>
      <c r="B137" s="24" t="n">
        <v>23</v>
      </c>
      <c r="C137" s="24" t="n">
        <v>24</v>
      </c>
      <c r="D137" s="24" t="n">
        <v>29</v>
      </c>
      <c r="E137" s="24" t="n">
        <v>30</v>
      </c>
    </row>
    <row r="138" customFormat="false" ht="15" hidden="false" customHeight="false" outlineLevel="0" collapsed="false">
      <c r="A138" s="23" t="s">
        <v>219</v>
      </c>
      <c r="B138" s="24" t="n">
        <v>15</v>
      </c>
      <c r="C138" s="24" t="n">
        <v>18</v>
      </c>
      <c r="D138" s="24" t="n">
        <v>27</v>
      </c>
      <c r="E138" s="24" t="n">
        <v>23</v>
      </c>
    </row>
    <row r="139" customFormat="false" ht="15" hidden="false" customHeight="false" outlineLevel="0" collapsed="false">
      <c r="A139" s="23" t="s">
        <v>220</v>
      </c>
      <c r="B139" s="24" t="n">
        <v>24</v>
      </c>
      <c r="C139" s="24" t="n">
        <v>43</v>
      </c>
      <c r="D139" s="24" t="n">
        <v>24</v>
      </c>
      <c r="E139" s="24" t="n">
        <v>23</v>
      </c>
    </row>
    <row r="140" customFormat="false" ht="15" hidden="false" customHeight="false" outlineLevel="0" collapsed="false">
      <c r="A140" s="23" t="s">
        <v>221</v>
      </c>
      <c r="B140" s="24" t="n">
        <v>16</v>
      </c>
      <c r="C140" s="24" t="n">
        <v>36</v>
      </c>
      <c r="D140" s="24" t="n">
        <v>21</v>
      </c>
      <c r="E140" s="24" t="n">
        <v>22</v>
      </c>
    </row>
    <row r="141" customFormat="false" ht="15" hidden="false" customHeight="false" outlineLevel="0" collapsed="false">
      <c r="A141" s="23" t="s">
        <v>222</v>
      </c>
      <c r="B141" s="24" t="n">
        <v>23</v>
      </c>
      <c r="C141" s="24" t="n">
        <v>24</v>
      </c>
      <c r="D141" s="24" t="n">
        <v>22</v>
      </c>
      <c r="E141" s="24" t="n">
        <v>19</v>
      </c>
    </row>
    <row r="142" customFormat="false" ht="15" hidden="false" customHeight="false" outlineLevel="0" collapsed="false">
      <c r="A142" s="23" t="s">
        <v>223</v>
      </c>
      <c r="B142" s="24" t="n">
        <v>18</v>
      </c>
      <c r="C142" s="24" t="n">
        <v>29</v>
      </c>
      <c r="D142" s="24" t="n">
        <v>32</v>
      </c>
      <c r="E142" s="24" t="n">
        <v>22</v>
      </c>
    </row>
    <row r="143" customFormat="false" ht="15" hidden="false" customHeight="false" outlineLevel="0" collapsed="false">
      <c r="A143" s="23" t="s">
        <v>224</v>
      </c>
      <c r="B143" s="24" t="n">
        <v>16</v>
      </c>
      <c r="C143" s="24" t="n">
        <v>21</v>
      </c>
      <c r="D143" s="24" t="n">
        <v>24</v>
      </c>
      <c r="E143" s="24" t="n">
        <v>27</v>
      </c>
    </row>
    <row r="144" customFormat="false" ht="15" hidden="false" customHeight="false" outlineLevel="0" collapsed="false">
      <c r="A144" s="23" t="s">
        <v>225</v>
      </c>
      <c r="B144" s="24" t="n">
        <v>19</v>
      </c>
      <c r="C144" s="24" t="n">
        <v>17</v>
      </c>
      <c r="D144" s="24" t="n">
        <v>26</v>
      </c>
      <c r="E144" s="24" t="n">
        <v>26</v>
      </c>
    </row>
    <row r="145" customFormat="false" ht="15" hidden="false" customHeight="false" outlineLevel="0" collapsed="false">
      <c r="A145" s="23" t="s">
        <v>226</v>
      </c>
      <c r="B145" s="24" t="n">
        <v>2</v>
      </c>
      <c r="C145" s="24" t="n">
        <v>7</v>
      </c>
      <c r="D145" s="24" t="n">
        <v>2</v>
      </c>
      <c r="E145" s="24" t="n">
        <v>2</v>
      </c>
    </row>
    <row r="146" customFormat="false" ht="15" hidden="false" customHeight="false" outlineLevel="0" collapsed="false">
      <c r="A146" s="23" t="s">
        <v>227</v>
      </c>
      <c r="B146" s="24" t="n">
        <v>5</v>
      </c>
      <c r="C146" s="24" t="n">
        <v>6</v>
      </c>
      <c r="D146" s="24" t="n">
        <v>7</v>
      </c>
      <c r="E146" s="24" t="n">
        <v>8</v>
      </c>
    </row>
    <row r="147" customFormat="false" ht="15" hidden="false" customHeight="false" outlineLevel="0" collapsed="false">
      <c r="A147" s="23" t="s">
        <v>228</v>
      </c>
      <c r="B147" s="24" t="n">
        <v>8</v>
      </c>
      <c r="C147" s="24" t="n">
        <v>5</v>
      </c>
      <c r="D147" s="24" t="n">
        <v>15</v>
      </c>
      <c r="E147" s="24" t="n">
        <v>7</v>
      </c>
    </row>
    <row r="148" customFormat="false" ht="15" hidden="false" customHeight="false" outlineLevel="0" collapsed="false">
      <c r="A148" s="23" t="s">
        <v>229</v>
      </c>
      <c r="B148" s="24" t="n">
        <v>12</v>
      </c>
      <c r="C148" s="24" t="n">
        <v>22</v>
      </c>
      <c r="D148" s="24" t="n">
        <v>29</v>
      </c>
      <c r="E148" s="24" t="n">
        <v>28</v>
      </c>
    </row>
    <row r="149" customFormat="false" ht="15" hidden="false" customHeight="false" outlineLevel="0" collapsed="false">
      <c r="A149" s="23" t="s">
        <v>230</v>
      </c>
      <c r="B149" s="24" t="n">
        <v>16</v>
      </c>
      <c r="C149" s="24" t="n">
        <v>29</v>
      </c>
      <c r="D149" s="24" t="n">
        <v>31</v>
      </c>
      <c r="E149" s="24" t="n">
        <v>31</v>
      </c>
    </row>
    <row r="150" customFormat="false" ht="15" hidden="false" customHeight="false" outlineLevel="0" collapsed="false">
      <c r="A150" s="23" t="s">
        <v>231</v>
      </c>
      <c r="B150" s="24" t="n">
        <v>19</v>
      </c>
      <c r="C150" s="24" t="n">
        <v>22</v>
      </c>
      <c r="D150" s="24" t="n">
        <v>22</v>
      </c>
      <c r="E150" s="24" t="n">
        <v>26</v>
      </c>
    </row>
    <row r="151" customFormat="false" ht="15" hidden="false" customHeight="false" outlineLevel="0" collapsed="false">
      <c r="A151" s="23" t="s">
        <v>232</v>
      </c>
      <c r="B151" s="24" t="n">
        <v>18</v>
      </c>
      <c r="C151" s="24" t="n">
        <v>25</v>
      </c>
      <c r="D151" s="24" t="n">
        <v>21</v>
      </c>
      <c r="E151" s="24" t="n">
        <v>34</v>
      </c>
    </row>
    <row r="152" customFormat="false" ht="15" hidden="false" customHeight="false" outlineLevel="0" collapsed="false">
      <c r="A152" s="23" t="s">
        <v>233</v>
      </c>
      <c r="B152" s="24" t="n">
        <v>14</v>
      </c>
      <c r="C152" s="24" t="n">
        <v>18</v>
      </c>
      <c r="D152" s="24" t="n">
        <v>34</v>
      </c>
      <c r="E152" s="24" t="n">
        <v>25</v>
      </c>
    </row>
    <row r="153" customFormat="false" ht="15" hidden="false" customHeight="false" outlineLevel="0" collapsed="false">
      <c r="A153" s="23" t="s">
        <v>234</v>
      </c>
      <c r="B153" s="24" t="n">
        <v>15</v>
      </c>
      <c r="C153" s="24" t="n">
        <v>19</v>
      </c>
      <c r="D153" s="24" t="n">
        <v>21</v>
      </c>
      <c r="E153" s="24" t="n">
        <v>33</v>
      </c>
    </row>
    <row r="154" customFormat="false" ht="15" hidden="false" customHeight="false" outlineLevel="0" collapsed="false">
      <c r="A154" s="23" t="s">
        <v>235</v>
      </c>
      <c r="B154" s="24" t="n">
        <v>15</v>
      </c>
      <c r="C154" s="24" t="n">
        <v>25</v>
      </c>
      <c r="D154" s="24" t="n">
        <v>27</v>
      </c>
      <c r="E154" s="24" t="n">
        <v>23</v>
      </c>
    </row>
    <row r="155" customFormat="false" ht="15" hidden="false" customHeight="false" outlineLevel="0" collapsed="false">
      <c r="A155" s="23" t="s">
        <v>236</v>
      </c>
      <c r="B155" s="24" t="n">
        <v>24</v>
      </c>
      <c r="C155" s="24" t="n">
        <v>13</v>
      </c>
      <c r="D155" s="24" t="n">
        <v>24</v>
      </c>
      <c r="E155" s="24" t="n">
        <v>22</v>
      </c>
    </row>
    <row r="156" customFormat="false" ht="15" hidden="false" customHeight="false" outlineLevel="0" collapsed="false">
      <c r="A156" s="23" t="s">
        <v>237</v>
      </c>
      <c r="B156" s="24" t="n">
        <v>22</v>
      </c>
      <c r="C156" s="24" t="n">
        <v>31</v>
      </c>
      <c r="D156" s="24" t="n">
        <v>22</v>
      </c>
      <c r="E156" s="24" t="n">
        <v>31</v>
      </c>
    </row>
    <row r="157" customFormat="false" ht="15" hidden="false" customHeight="false" outlineLevel="0" collapsed="false">
      <c r="A157" s="23" t="s">
        <v>238</v>
      </c>
      <c r="B157" s="24" t="n">
        <v>22</v>
      </c>
      <c r="C157" s="24" t="n">
        <v>19</v>
      </c>
      <c r="D157" s="24" t="n">
        <v>28</v>
      </c>
      <c r="E157" s="24" t="n">
        <v>24</v>
      </c>
    </row>
    <row r="158" customFormat="false" ht="15" hidden="false" customHeight="false" outlineLevel="0" collapsed="false">
      <c r="A158" s="23" t="s">
        <v>239</v>
      </c>
      <c r="B158" s="24" t="n">
        <v>21</v>
      </c>
      <c r="C158" s="24" t="n">
        <v>22</v>
      </c>
      <c r="D158" s="24" t="n">
        <v>23</v>
      </c>
      <c r="E158" s="24" t="n">
        <v>26</v>
      </c>
    </row>
    <row r="159" customFormat="false" ht="15" hidden="false" customHeight="false" outlineLevel="0" collapsed="false">
      <c r="A159" s="23" t="s">
        <v>240</v>
      </c>
      <c r="B159" s="24" t="n">
        <v>1</v>
      </c>
      <c r="C159" s="24" t="n">
        <v>4</v>
      </c>
      <c r="D159" s="24" t="n">
        <v>7</v>
      </c>
      <c r="E159" s="24" t="n">
        <v>6</v>
      </c>
    </row>
    <row r="160" customFormat="false" ht="15" hidden="false" customHeight="false" outlineLevel="0" collapsed="false">
      <c r="A160" s="23" t="s">
        <v>241</v>
      </c>
      <c r="B160" s="24" t="n">
        <v>10</v>
      </c>
      <c r="C160" s="24" t="n">
        <v>11</v>
      </c>
      <c r="D160" s="24" t="n">
        <v>6</v>
      </c>
      <c r="E160" s="24" t="n">
        <v>10</v>
      </c>
    </row>
    <row r="161" customFormat="false" ht="15" hidden="false" customHeight="false" outlineLevel="0" collapsed="false">
      <c r="A161" s="23" t="s">
        <v>242</v>
      </c>
      <c r="B161" s="24" t="n">
        <v>17</v>
      </c>
      <c r="C161" s="24" t="n">
        <v>19</v>
      </c>
      <c r="D161" s="24" t="n">
        <v>27</v>
      </c>
      <c r="E161" s="24" t="n">
        <v>27</v>
      </c>
    </row>
    <row r="162" customFormat="false" ht="15" hidden="false" customHeight="false" outlineLevel="0" collapsed="false">
      <c r="A162" s="23" t="s">
        <v>243</v>
      </c>
      <c r="B162" s="24" t="n">
        <v>23</v>
      </c>
      <c r="C162" s="24" t="n">
        <v>20</v>
      </c>
      <c r="D162" s="24" t="n">
        <v>24</v>
      </c>
      <c r="E162" s="24" t="n">
        <v>18</v>
      </c>
    </row>
    <row r="163" customFormat="false" ht="15" hidden="false" customHeight="false" outlineLevel="0" collapsed="false">
      <c r="A163" s="23" t="s">
        <v>244</v>
      </c>
      <c r="B163" s="24" t="n">
        <v>17</v>
      </c>
      <c r="C163" s="24" t="n">
        <v>29</v>
      </c>
      <c r="D163" s="24" t="n">
        <v>19</v>
      </c>
      <c r="E163" s="24" t="n">
        <v>27</v>
      </c>
    </row>
    <row r="164" customFormat="false" ht="15" hidden="false" customHeight="false" outlineLevel="0" collapsed="false">
      <c r="A164" s="23" t="s">
        <v>245</v>
      </c>
      <c r="B164" s="24" t="n">
        <v>18</v>
      </c>
      <c r="C164" s="24" t="n">
        <v>27</v>
      </c>
      <c r="D164" s="24" t="n">
        <v>36</v>
      </c>
      <c r="E164" s="24" t="n">
        <v>36</v>
      </c>
    </row>
    <row r="165" customFormat="false" ht="15" hidden="false" customHeight="false" outlineLevel="0" collapsed="false">
      <c r="A165" s="23" t="s">
        <v>246</v>
      </c>
      <c r="B165" s="24" t="n">
        <v>20</v>
      </c>
      <c r="C165" s="24" t="n">
        <v>22</v>
      </c>
      <c r="D165" s="24" t="n">
        <v>17</v>
      </c>
      <c r="E165" s="24" t="n">
        <v>27</v>
      </c>
    </row>
    <row r="166" customFormat="false" ht="15" hidden="false" customHeight="false" outlineLevel="0" collapsed="false">
      <c r="A166" s="23" t="s">
        <v>247</v>
      </c>
      <c r="B166" s="24" t="n">
        <v>17</v>
      </c>
      <c r="C166" s="24" t="n">
        <v>32</v>
      </c>
      <c r="D166" s="24" t="n">
        <v>34</v>
      </c>
      <c r="E166" s="24" t="n">
        <v>32</v>
      </c>
    </row>
    <row r="167" customFormat="false" ht="15" hidden="false" customHeight="false" outlineLevel="0" collapsed="false">
      <c r="A167" s="23" t="s">
        <v>248</v>
      </c>
      <c r="B167" s="24" t="n">
        <v>11</v>
      </c>
      <c r="C167" s="24" t="n">
        <v>24</v>
      </c>
      <c r="D167" s="24" t="n">
        <v>29</v>
      </c>
      <c r="E167" s="24" t="n">
        <v>19</v>
      </c>
    </row>
    <row r="168" customFormat="false" ht="15" hidden="false" customHeight="false" outlineLevel="0" collapsed="false">
      <c r="A168" s="23" t="s">
        <v>249</v>
      </c>
      <c r="B168" s="24" t="n">
        <v>14</v>
      </c>
      <c r="C168" s="24" t="n">
        <v>21</v>
      </c>
      <c r="D168" s="24" t="n">
        <v>19</v>
      </c>
      <c r="E168" s="24" t="n">
        <v>28</v>
      </c>
    </row>
    <row r="169" customFormat="false" ht="15" hidden="false" customHeight="false" outlineLevel="0" collapsed="false">
      <c r="A169" s="23" t="s">
        <v>250</v>
      </c>
      <c r="B169" s="24" t="n">
        <v>18</v>
      </c>
      <c r="C169" s="24" t="n">
        <v>27</v>
      </c>
      <c r="D169" s="24" t="n">
        <v>30</v>
      </c>
      <c r="E169" s="24" t="n">
        <v>28</v>
      </c>
    </row>
    <row r="170" customFormat="false" ht="15" hidden="false" customHeight="false" outlineLevel="0" collapsed="false">
      <c r="A170" s="23" t="s">
        <v>251</v>
      </c>
      <c r="B170" s="24" t="n">
        <v>18</v>
      </c>
      <c r="C170" s="24" t="n">
        <v>24</v>
      </c>
      <c r="D170" s="24" t="n">
        <v>30</v>
      </c>
      <c r="E170" s="24" t="n">
        <v>24</v>
      </c>
    </row>
    <row r="171" customFormat="false" ht="15" hidden="false" customHeight="false" outlineLevel="0" collapsed="false">
      <c r="A171" s="23" t="s">
        <v>252</v>
      </c>
      <c r="B171" s="24" t="n">
        <v>16</v>
      </c>
      <c r="C171" s="24" t="n">
        <v>27</v>
      </c>
      <c r="D171" s="24" t="n">
        <v>33</v>
      </c>
      <c r="E171" s="24" t="n">
        <v>30</v>
      </c>
    </row>
    <row r="172" customFormat="false" ht="15" hidden="false" customHeight="false" outlineLevel="0" collapsed="false">
      <c r="A172" s="23" t="s">
        <v>253</v>
      </c>
      <c r="B172" s="24" t="n">
        <v>23</v>
      </c>
      <c r="C172" s="24" t="n">
        <v>19</v>
      </c>
      <c r="D172" s="24" t="n">
        <v>27</v>
      </c>
      <c r="E172" s="24" t="n">
        <v>33</v>
      </c>
    </row>
    <row r="173" customFormat="false" ht="15" hidden="false" customHeight="false" outlineLevel="0" collapsed="false">
      <c r="A173" s="23" t="s">
        <v>254</v>
      </c>
      <c r="B173" s="24" t="n">
        <v>7</v>
      </c>
      <c r="C173" s="24" t="n">
        <v>7</v>
      </c>
      <c r="D173" s="24" t="n">
        <v>5</v>
      </c>
      <c r="E173" s="24" t="n">
        <v>8</v>
      </c>
    </row>
  </sheetData>
  <conditionalFormatting sqref="B5:B173">
    <cfRule type="colorScale" priority="2">
      <colorScale>
        <cfvo type="num" val="0"/>
        <cfvo type="num" val="24"/>
        <color rgb="FFFFFFFF"/>
        <color rgb="FF7FA8D9"/>
      </colorScale>
    </cfRule>
  </conditionalFormatting>
  <conditionalFormatting sqref="C5:C173">
    <cfRule type="colorScale" priority="3">
      <colorScale>
        <cfvo type="num" val="0"/>
        <cfvo type="num" val="43"/>
        <color rgb="FFFFFFFF"/>
        <color rgb="FF7FA8D9"/>
      </colorScale>
    </cfRule>
  </conditionalFormatting>
  <conditionalFormatting sqref="D5:D173">
    <cfRule type="colorScale" priority="4">
      <colorScale>
        <cfvo type="num" val="0"/>
        <cfvo type="num" val="36"/>
        <color rgb="FFFFFFFF"/>
        <color rgb="FF7FA8D9"/>
      </colorScale>
    </cfRule>
  </conditionalFormatting>
  <conditionalFormatting sqref="E5:E173">
    <cfRule type="colorScale" priority="5">
      <colorScale>
        <cfvo type="num" val="0"/>
        <cfvo type="num" val="36"/>
        <color rgb="FFFFFFFF"/>
        <color rgb="FF7FA8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21"/>
    <col collapsed="false" customWidth="true" hidden="false" outlineLevel="0" max="8" min="8" style="0" width="42"/>
  </cols>
  <sheetData>
    <row r="1" customFormat="false" ht="17.35" hidden="false" customHeight="false" outlineLevel="0" collapsed="false">
      <c r="A1" s="20" t="s">
        <v>285</v>
      </c>
    </row>
    <row r="2" customFormat="false" ht="15" hidden="false" customHeight="false" outlineLevel="0" collapsed="false">
      <c r="A2" s="21" t="s">
        <v>286</v>
      </c>
    </row>
    <row r="4" customFormat="false" ht="15" hidden="false" customHeight="false" outlineLevel="0" collapsed="false">
      <c r="A4" s="4" t="s">
        <v>25</v>
      </c>
      <c r="B4" s="4" t="s">
        <v>77</v>
      </c>
      <c r="C4" s="4" t="s">
        <v>51</v>
      </c>
      <c r="D4" s="4" t="s">
        <v>287</v>
      </c>
      <c r="E4" s="4" t="s">
        <v>288</v>
      </c>
      <c r="F4" s="4" t="s">
        <v>289</v>
      </c>
      <c r="G4" s="4" t="s">
        <v>290</v>
      </c>
      <c r="H4" s="4" t="s">
        <v>291</v>
      </c>
    </row>
    <row r="5" customFormat="false" ht="15" hidden="false" customHeight="false" outlineLevel="0" collapsed="false">
      <c r="A5" s="23" t="s">
        <v>39</v>
      </c>
      <c r="B5" s="23" t="s">
        <v>105</v>
      </c>
      <c r="C5" s="32" t="str">
        <f aca="false">IF(RIGHT(B5,1)="o","Offsuit",IF(RIGHT(B5,1)="s","Suited","Par"))</f>
        <v>Suited</v>
      </c>
      <c r="D5" s="33" t="n">
        <f aca="false">INDEX(Folds_total!$C$5:$C$173,MATCH($B5,Folds_total!$A$5:$A$173,0))</f>
        <v>8</v>
      </c>
      <c r="E5" s="34" t="n">
        <f aca="false">INDEX(Maos_por_spot!$H$5:$H$173,MATCH($B5,Maos_por_spot!$A$5:$A$173,0))</f>
        <v>0.55</v>
      </c>
      <c r="F5" s="32" t="str">
        <f aca="false">INDEX(Maos_por_spot!$I$5:$I$173,MATCH($B5,Maos_por_spot!$A$5:$A$173,0))</f>
        <v>3bet</v>
      </c>
      <c r="G5" s="35" t="n">
        <f aca="false">D5*E5</f>
        <v>4.4</v>
      </c>
      <c r="H5" s="25" t="str">
        <f aca="false">IF(E5&gt;=0.8,"Erro claro: o solver quase sempre defende","Defende só em parte: pode estar certo")</f>
        <v>Defende só em parte: pode estar certo</v>
      </c>
    </row>
    <row r="6" customFormat="false" ht="15" hidden="false" customHeight="false" outlineLevel="0" collapsed="false">
      <c r="A6" s="23" t="s">
        <v>39</v>
      </c>
      <c r="B6" s="23" t="s">
        <v>126</v>
      </c>
      <c r="C6" s="32" t="str">
        <f aca="false">IF(RIGHT(B6,1)="o","Offsuit",IF(RIGHT(B6,1)="s","Suited","Par"))</f>
        <v>Offsuit</v>
      </c>
      <c r="D6" s="33" t="n">
        <f aca="false">INDEX(Folds_total!$C$5:$C$173,MATCH($B6,Folds_total!$A$5:$A$173,0))</f>
        <v>7</v>
      </c>
      <c r="E6" s="34" t="n">
        <f aca="false">INDEX(Maos_por_spot!$H$5:$H$173,MATCH($B6,Maos_por_spot!$A$5:$A$173,0))</f>
        <v>0.5</v>
      </c>
      <c r="F6" s="32" t="str">
        <f aca="false">INDEX(Maos_por_spot!$I$5:$I$173,MATCH($B6,Maos_por_spot!$A$5:$A$173,0))</f>
        <v>3bet/call</v>
      </c>
      <c r="G6" s="35" t="n">
        <f aca="false">D6*E6</f>
        <v>3.5</v>
      </c>
      <c r="H6" s="25" t="str">
        <f aca="false">IF(E6&gt;=0.8,"Erro claro: o solver quase sempre defende","Defende só em parte: pode estar certo")</f>
        <v>Defende só em parte: pode estar certo</v>
      </c>
    </row>
    <row r="7" customFormat="false" ht="15" hidden="false" customHeight="false" outlineLevel="0" collapsed="false">
      <c r="A7" s="23" t="s">
        <v>39</v>
      </c>
      <c r="B7" s="23" t="s">
        <v>226</v>
      </c>
      <c r="C7" s="32" t="str">
        <f aca="false">IF(RIGHT(B7,1)="o","Offsuit",IF(RIGHT(B7,1)="s","Suited","Par"))</f>
        <v>Par</v>
      </c>
      <c r="D7" s="33" t="n">
        <f aca="false">INDEX(Folds_total!$C$5:$C$173,MATCH($B7,Folds_total!$A$5:$A$173,0))</f>
        <v>7</v>
      </c>
      <c r="E7" s="34" t="n">
        <f aca="false">INDEX(Maos_por_spot!$H$5:$H$173,MATCH($B7,Maos_por_spot!$A$5:$A$173,0))</f>
        <v>0.4</v>
      </c>
      <c r="F7" s="32" t="str">
        <f aca="false">INDEX(Maos_por_spot!$I$5:$I$173,MATCH($B7,Maos_por_spot!$A$5:$A$173,0))</f>
        <v>Call</v>
      </c>
      <c r="G7" s="35" t="n">
        <f aca="false">D7*E7</f>
        <v>2.8</v>
      </c>
      <c r="H7" s="25" t="str">
        <f aca="false">IF(E7&gt;=0.8,"Erro claro: o solver quase sempre defende","Defende só em parte: pode estar certo")</f>
        <v>Defende só em parte: pode estar certo</v>
      </c>
    </row>
    <row r="8" customFormat="false" ht="15" hidden="false" customHeight="false" outlineLevel="0" collapsed="false">
      <c r="A8" s="23" t="s">
        <v>40</v>
      </c>
      <c r="B8" s="23" t="s">
        <v>151</v>
      </c>
      <c r="C8" s="32" t="str">
        <f aca="false">IF(RIGHT(B8,1)="o","Offsuit",IF(RIGHT(B8,1)="s","Suited","Par"))</f>
        <v>Offsuit</v>
      </c>
      <c r="D8" s="33" t="n">
        <f aca="false">INDEX(Folds_total!$D$5:$D$173,MATCH($B8,Folds_total!$A$5:$A$173,0))</f>
        <v>17</v>
      </c>
      <c r="E8" s="34" t="n">
        <f aca="false">INDEX(Maos_por_spot!$L$5:$L$173,MATCH($B8,Maos_por_spot!$A$5:$A$173,0))</f>
        <v>1</v>
      </c>
      <c r="F8" s="32" t="str">
        <f aca="false">INDEX(Maos_por_spot!$M$5:$M$173,MATCH($B8,Maos_por_spot!$A$5:$A$173,0))</f>
        <v>3bet/call</v>
      </c>
      <c r="G8" s="35" t="n">
        <f aca="false">D8*E8</f>
        <v>17</v>
      </c>
      <c r="H8" s="25" t="str">
        <f aca="false">IF(E8&gt;=0.8,"Erro claro: o solver quase sempre defende","Defende só em parte: pode estar certo")</f>
        <v>Erro claro: o solver quase sempre defende</v>
      </c>
    </row>
    <row r="9" customFormat="false" ht="15" hidden="false" customHeight="false" outlineLevel="0" collapsed="false">
      <c r="A9" s="23" t="s">
        <v>40</v>
      </c>
      <c r="B9" s="23" t="s">
        <v>127</v>
      </c>
      <c r="C9" s="32" t="str">
        <f aca="false">IF(RIGHT(B9,1)="o","Offsuit",IF(RIGHT(B9,1)="s","Suited","Par"))</f>
        <v>Offsuit</v>
      </c>
      <c r="D9" s="33" t="n">
        <f aca="false">INDEX(Folds_total!$D$5:$D$173,MATCH($B9,Folds_total!$A$5:$A$173,0))</f>
        <v>13</v>
      </c>
      <c r="E9" s="34" t="n">
        <f aca="false">INDEX(Maos_por_spot!$L$5:$L$173,MATCH($B9,Maos_por_spot!$A$5:$A$173,0))</f>
        <v>1</v>
      </c>
      <c r="F9" s="32" t="str">
        <f aca="false">INDEX(Maos_por_spot!$M$5:$M$173,MATCH($B9,Maos_por_spot!$A$5:$A$173,0))</f>
        <v>3bet/call</v>
      </c>
      <c r="G9" s="35" t="n">
        <f aca="false">D9*E9</f>
        <v>13</v>
      </c>
      <c r="H9" s="25" t="str">
        <f aca="false">IF(E9&gt;=0.8,"Erro claro: o solver quase sempre defende","Defende só em parte: pode estar certo")</f>
        <v>Erro claro: o solver quase sempre defende</v>
      </c>
    </row>
    <row r="10" customFormat="false" ht="15" hidden="false" customHeight="false" outlineLevel="0" collapsed="false">
      <c r="A10" s="23" t="s">
        <v>40</v>
      </c>
      <c r="B10" s="23" t="s">
        <v>164</v>
      </c>
      <c r="C10" s="32" t="str">
        <f aca="false">IF(RIGHT(B10,1)="o","Offsuit",IF(RIGHT(B10,1)="s","Suited","Par"))</f>
        <v>Offsuit</v>
      </c>
      <c r="D10" s="33" t="n">
        <f aca="false">INDEX(Folds_total!$D$5:$D$173,MATCH($B10,Folds_total!$A$5:$A$173,0))</f>
        <v>33</v>
      </c>
      <c r="E10" s="34" t="n">
        <f aca="false">INDEX(Maos_por_spot!$L$5:$L$173,MATCH($B10,Maos_por_spot!$A$5:$A$173,0))</f>
        <v>0.4</v>
      </c>
      <c r="F10" s="32" t="str">
        <f aca="false">INDEX(Maos_por_spot!$M$5:$M$173,MATCH($B10,Maos_por_spot!$A$5:$A$173,0))</f>
        <v>3bet</v>
      </c>
      <c r="G10" s="35" t="n">
        <f aca="false">D10*E10</f>
        <v>13.2</v>
      </c>
      <c r="H10" s="25" t="str">
        <f aca="false">IF(E10&gt;=0.8,"Erro claro: o solver quase sempre defende","Defende só em parte: pode estar certo")</f>
        <v>Defende só em parte: pode estar certo</v>
      </c>
    </row>
    <row r="11" customFormat="false" ht="15" hidden="false" customHeight="false" outlineLevel="0" collapsed="false">
      <c r="A11" s="23" t="s">
        <v>40</v>
      </c>
      <c r="B11" s="23" t="s">
        <v>139</v>
      </c>
      <c r="C11" s="32" t="str">
        <f aca="false">IF(RIGHT(B11,1)="o","Offsuit",IF(RIGHT(B11,1)="s","Suited","Par"))</f>
        <v>Offsuit</v>
      </c>
      <c r="D11" s="33" t="n">
        <f aca="false">INDEX(Folds_total!$D$5:$D$173,MATCH($B11,Folds_total!$A$5:$A$173,0))</f>
        <v>11</v>
      </c>
      <c r="E11" s="34" t="n">
        <f aca="false">INDEX(Maos_por_spot!$L$5:$L$173,MATCH($B11,Maos_por_spot!$A$5:$A$173,0))</f>
        <v>1</v>
      </c>
      <c r="F11" s="32" t="str">
        <f aca="false">INDEX(Maos_por_spot!$M$5:$M$173,MATCH($B11,Maos_por_spot!$A$5:$A$173,0))</f>
        <v>3bet/call</v>
      </c>
      <c r="G11" s="35" t="n">
        <f aca="false">D11*E11</f>
        <v>11</v>
      </c>
      <c r="H11" s="25" t="str">
        <f aca="false">IF(E11&gt;=0.8,"Erro claro: o solver quase sempre defende","Defende só em parte: pode estar certo")</f>
        <v>Erro claro: o solver quase sempre defende</v>
      </c>
    </row>
    <row r="12" customFormat="false" ht="15" hidden="false" customHeight="false" outlineLevel="0" collapsed="false">
      <c r="A12" s="23" t="s">
        <v>40</v>
      </c>
      <c r="B12" s="23" t="s">
        <v>118</v>
      </c>
      <c r="C12" s="32" t="str">
        <f aca="false">IF(RIGHT(B12,1)="o","Offsuit",IF(RIGHT(B12,1)="s","Suited","Par"))</f>
        <v>Suited</v>
      </c>
      <c r="D12" s="33" t="n">
        <f aca="false">INDEX(Folds_total!$D$5:$D$173,MATCH($B12,Folds_total!$A$5:$A$173,0))</f>
        <v>9</v>
      </c>
      <c r="E12" s="34" t="n">
        <f aca="false">INDEX(Maos_por_spot!$L$5:$L$173,MATCH($B12,Maos_por_spot!$A$5:$A$173,0))</f>
        <v>1</v>
      </c>
      <c r="F12" s="32" t="str">
        <f aca="false">INDEX(Maos_por_spot!$M$5:$M$173,MATCH($B12,Maos_por_spot!$A$5:$A$173,0))</f>
        <v>3bet</v>
      </c>
      <c r="G12" s="35" t="n">
        <f aca="false">D12*E12</f>
        <v>9</v>
      </c>
      <c r="H12" s="25" t="str">
        <f aca="false">IF(E12&gt;=0.8,"Erro claro: o solver quase sempre defende","Defende só em parte: pode estar certo")</f>
        <v>Erro claro: o solver quase sempre defende</v>
      </c>
    </row>
    <row r="13" customFormat="false" ht="15" hidden="false" customHeight="false" outlineLevel="0" collapsed="false">
      <c r="A13" s="23" t="s">
        <v>40</v>
      </c>
      <c r="B13" s="23" t="s">
        <v>144</v>
      </c>
      <c r="C13" s="32" t="str">
        <f aca="false">IF(RIGHT(B13,1)="o","Offsuit",IF(RIGHT(B13,1)="s","Suited","Par"))</f>
        <v>Suited</v>
      </c>
      <c r="D13" s="33" t="n">
        <f aca="false">INDEX(Folds_total!$D$5:$D$173,MATCH($B13,Folds_total!$A$5:$A$173,0))</f>
        <v>7</v>
      </c>
      <c r="E13" s="34" t="n">
        <f aca="false">INDEX(Maos_por_spot!$L$5:$L$173,MATCH($B13,Maos_por_spot!$A$5:$A$173,0))</f>
        <v>1</v>
      </c>
      <c r="F13" s="32" t="str">
        <f aca="false">INDEX(Maos_por_spot!$M$5:$M$173,MATCH($B13,Maos_por_spot!$A$5:$A$173,0))</f>
        <v>3bet/call</v>
      </c>
      <c r="G13" s="35" t="n">
        <f aca="false">D13*E13</f>
        <v>7</v>
      </c>
      <c r="H13" s="25" t="str">
        <f aca="false">IF(E13&gt;=0.8,"Erro claro: o solver quase sempre defende","Defende só em parte: pode estar certo")</f>
        <v>Erro claro: o solver quase sempre defende</v>
      </c>
    </row>
    <row r="14" customFormat="false" ht="15" hidden="false" customHeight="false" outlineLevel="0" collapsed="false">
      <c r="A14" s="23" t="s">
        <v>40</v>
      </c>
      <c r="B14" s="23" t="s">
        <v>171</v>
      </c>
      <c r="C14" s="32" t="str">
        <f aca="false">IF(RIGHT(B14,1)="o","Offsuit",IF(RIGHT(B14,1)="s","Suited","Par"))</f>
        <v>Suited</v>
      </c>
      <c r="D14" s="33" t="n">
        <f aca="false">INDEX(Folds_total!$D$5:$D$173,MATCH($B14,Folds_total!$A$5:$A$173,0))</f>
        <v>7</v>
      </c>
      <c r="E14" s="34" t="n">
        <f aca="false">INDEX(Maos_por_spot!$L$5:$L$173,MATCH($B14,Maos_por_spot!$A$5:$A$173,0))</f>
        <v>1</v>
      </c>
      <c r="F14" s="32" t="str">
        <f aca="false">INDEX(Maos_por_spot!$M$5:$M$173,MATCH($B14,Maos_por_spot!$A$5:$A$173,0))</f>
        <v>3bet/call</v>
      </c>
      <c r="G14" s="35" t="n">
        <f aca="false">D14*E14</f>
        <v>7</v>
      </c>
      <c r="H14" s="25" t="str">
        <f aca="false">IF(E14&gt;=0.8,"Erro claro: o solver quase sempre defende","Defende só em parte: pode estar certo")</f>
        <v>Erro claro: o solver quase sempre defende</v>
      </c>
    </row>
    <row r="15" customFormat="false" ht="15" hidden="false" customHeight="false" outlineLevel="0" collapsed="false">
      <c r="A15" s="23" t="s">
        <v>40</v>
      </c>
      <c r="B15" s="23" t="s">
        <v>240</v>
      </c>
      <c r="C15" s="32" t="str">
        <f aca="false">IF(RIGHT(B15,1)="o","Offsuit",IF(RIGHT(B15,1)="s","Suited","Par"))</f>
        <v>Par</v>
      </c>
      <c r="D15" s="33" t="n">
        <f aca="false">INDEX(Folds_total!$D$5:$D$173,MATCH($B15,Folds_total!$A$5:$A$173,0))</f>
        <v>7</v>
      </c>
      <c r="E15" s="34" t="n">
        <f aca="false">INDEX(Maos_por_spot!$L$5:$L$173,MATCH($B15,Maos_por_spot!$A$5:$A$173,0))</f>
        <v>1</v>
      </c>
      <c r="F15" s="32" t="str">
        <f aca="false">INDEX(Maos_por_spot!$M$5:$M$173,MATCH($B15,Maos_por_spot!$A$5:$A$173,0))</f>
        <v>Call</v>
      </c>
      <c r="G15" s="35" t="n">
        <f aca="false">D15*E15</f>
        <v>7</v>
      </c>
      <c r="H15" s="25" t="str">
        <f aca="false">IF(E15&gt;=0.8,"Erro claro: o solver quase sempre defende","Defende só em parte: pode estar certo")</f>
        <v>Erro claro: o solver quase sempre defende</v>
      </c>
    </row>
    <row r="16" customFormat="false" ht="15" hidden="false" customHeight="false" outlineLevel="0" collapsed="false">
      <c r="A16" s="23" t="s">
        <v>40</v>
      </c>
      <c r="B16" s="23" t="s">
        <v>107</v>
      </c>
      <c r="C16" s="32" t="str">
        <f aca="false">IF(RIGHT(B16,1)="o","Offsuit",IF(RIGHT(B16,1)="s","Suited","Par"))</f>
        <v>Suited</v>
      </c>
      <c r="D16" s="33" t="n">
        <f aca="false">INDEX(Folds_total!$D$5:$D$173,MATCH($B16,Folds_total!$A$5:$A$173,0))</f>
        <v>8</v>
      </c>
      <c r="E16" s="34" t="n">
        <f aca="false">INDEX(Maos_por_spot!$L$5:$L$173,MATCH($B16,Maos_por_spot!$A$5:$A$173,0))</f>
        <v>0.8</v>
      </c>
      <c r="F16" s="32" t="str">
        <f aca="false">INDEX(Maos_por_spot!$M$5:$M$173,MATCH($B16,Maos_por_spot!$A$5:$A$173,0))</f>
        <v>3bet/call</v>
      </c>
      <c r="G16" s="35" t="n">
        <f aca="false">D16*E16</f>
        <v>6.4</v>
      </c>
      <c r="H16" s="25" t="str">
        <f aca="false">IF(E16&gt;=0.8,"Erro claro: o solver quase sempre defende","Defende só em parte: pode estar certo")</f>
        <v>Erro claro: o solver quase sempre defende</v>
      </c>
    </row>
    <row r="17" customFormat="false" ht="15" hidden="false" customHeight="false" outlineLevel="0" collapsed="false">
      <c r="A17" s="23" t="s">
        <v>40</v>
      </c>
      <c r="B17" s="23" t="s">
        <v>108</v>
      </c>
      <c r="C17" s="32" t="str">
        <f aca="false">IF(RIGHT(B17,1)="o","Offsuit",IF(RIGHT(B17,1)="s","Suited","Par"))</f>
        <v>Suited</v>
      </c>
      <c r="D17" s="33" t="n">
        <f aca="false">INDEX(Folds_total!$D$5:$D$173,MATCH($B17,Folds_total!$A$5:$A$173,0))</f>
        <v>8</v>
      </c>
      <c r="E17" s="34" t="n">
        <f aca="false">INDEX(Maos_por_spot!$L$5:$L$173,MATCH($B17,Maos_por_spot!$A$5:$A$173,0))</f>
        <v>0.4</v>
      </c>
      <c r="F17" s="32" t="str">
        <f aca="false">INDEX(Maos_por_spot!$M$5:$M$173,MATCH($B17,Maos_por_spot!$A$5:$A$173,0))</f>
        <v>3bet</v>
      </c>
      <c r="G17" s="35" t="n">
        <f aca="false">D17*E17</f>
        <v>3.2</v>
      </c>
      <c r="H17" s="25" t="str">
        <f aca="false">IF(E17&gt;=0.8,"Erro claro: o solver quase sempre defende","Defende só em parte: pode estar certo")</f>
        <v>Defende só em parte: pode estar certo</v>
      </c>
    </row>
    <row r="18" customFormat="false" ht="15" hidden="false" customHeight="false" outlineLevel="0" collapsed="false">
      <c r="A18" s="23" t="s">
        <v>41</v>
      </c>
      <c r="B18" s="23" t="s">
        <v>139</v>
      </c>
      <c r="C18" s="32" t="str">
        <f aca="false">IF(RIGHT(B18,1)="o","Offsuit",IF(RIGHT(B18,1)="s","Suited","Par"))</f>
        <v>Offsuit</v>
      </c>
      <c r="D18" s="33" t="n">
        <f aca="false">INDEX(Folds_total!$E$5:$E$173,MATCH($B18,Folds_total!$A$5:$A$173,0))</f>
        <v>19</v>
      </c>
      <c r="E18" s="34" t="n">
        <f aca="false">INDEX(Maos_por_spot!$P$5:$P$173,MATCH($B18,Maos_por_spot!$A$5:$A$173,0))</f>
        <v>1</v>
      </c>
      <c r="F18" s="32" t="str">
        <f aca="false">INDEX(Maos_por_spot!$Q$5:$Q$173,MATCH($B18,Maos_por_spot!$A$5:$A$173,0))</f>
        <v>3bet/call</v>
      </c>
      <c r="G18" s="35" t="n">
        <f aca="false">D18*E18</f>
        <v>19</v>
      </c>
      <c r="H18" s="25" t="str">
        <f aca="false">IF(E18&gt;=0.8,"Erro claro: o solver quase sempre defende","Defende só em parte: pode estar certo")</f>
        <v>Erro claro: o solver quase sempre defende</v>
      </c>
    </row>
    <row r="19" customFormat="false" ht="15" hidden="false" customHeight="false" outlineLevel="0" collapsed="false">
      <c r="A19" s="23" t="s">
        <v>41</v>
      </c>
      <c r="B19" s="23" t="s">
        <v>141</v>
      </c>
      <c r="C19" s="32" t="str">
        <f aca="false">IF(RIGHT(B19,1)="o","Offsuit",IF(RIGHT(B19,1)="s","Suited","Par"))</f>
        <v>Offsuit</v>
      </c>
      <c r="D19" s="33" t="n">
        <f aca="false">INDEX(Folds_total!$E$5:$E$173,MATCH($B19,Folds_total!$A$5:$A$173,0))</f>
        <v>15</v>
      </c>
      <c r="E19" s="34" t="n">
        <f aca="false">INDEX(Maos_por_spot!$P$5:$P$173,MATCH($B19,Maos_por_spot!$A$5:$A$173,0))</f>
        <v>1</v>
      </c>
      <c r="F19" s="32" t="str">
        <f aca="false">INDEX(Maos_por_spot!$Q$5:$Q$173,MATCH($B19,Maos_por_spot!$A$5:$A$173,0))</f>
        <v>3bet/call</v>
      </c>
      <c r="G19" s="35" t="n">
        <f aca="false">D19*E19</f>
        <v>15</v>
      </c>
      <c r="H19" s="25" t="str">
        <f aca="false">IF(E19&gt;=0.8,"Erro claro: o solver quase sempre defende","Defende só em parte: pode estar certo")</f>
        <v>Erro claro: o solver quase sempre defende</v>
      </c>
    </row>
    <row r="20" customFormat="false" ht="15" hidden="false" customHeight="false" outlineLevel="0" collapsed="false">
      <c r="A20" s="23" t="s">
        <v>41</v>
      </c>
      <c r="B20" s="23" t="s">
        <v>164</v>
      </c>
      <c r="C20" s="32" t="str">
        <f aca="false">IF(RIGHT(B20,1)="o","Offsuit",IF(RIGHT(B20,1)="s","Suited","Par"))</f>
        <v>Offsuit</v>
      </c>
      <c r="D20" s="33" t="n">
        <f aca="false">INDEX(Folds_total!$E$5:$E$173,MATCH($B20,Folds_total!$A$5:$A$173,0))</f>
        <v>14</v>
      </c>
      <c r="E20" s="34" t="n">
        <f aca="false">INDEX(Maos_por_spot!$P$5:$P$173,MATCH($B20,Maos_por_spot!$A$5:$A$173,0))</f>
        <v>1</v>
      </c>
      <c r="F20" s="32" t="str">
        <f aca="false">INDEX(Maos_por_spot!$Q$5:$Q$173,MATCH($B20,Maos_por_spot!$A$5:$A$173,0))</f>
        <v>3bet/call</v>
      </c>
      <c r="G20" s="35" t="n">
        <f aca="false">D20*E20</f>
        <v>14</v>
      </c>
      <c r="H20" s="25" t="str">
        <f aca="false">IF(E20&gt;=0.8,"Erro claro: o solver quase sempre defende","Defende só em parte: pode estar certo")</f>
        <v>Erro claro: o solver quase sempre defende</v>
      </c>
    </row>
    <row r="21" customFormat="false" ht="15" hidden="false" customHeight="false" outlineLevel="0" collapsed="false">
      <c r="A21" s="23" t="s">
        <v>41</v>
      </c>
      <c r="B21" s="23" t="s">
        <v>177</v>
      </c>
      <c r="C21" s="32" t="str">
        <f aca="false">IF(RIGHT(B21,1)="o","Offsuit",IF(RIGHT(B21,1)="s","Suited","Par"))</f>
        <v>Offsuit</v>
      </c>
      <c r="D21" s="33" t="n">
        <f aca="false">INDEX(Folds_total!$E$5:$E$173,MATCH($B21,Folds_total!$A$5:$A$173,0))</f>
        <v>21</v>
      </c>
      <c r="E21" s="34" t="n">
        <f aca="false">INDEX(Maos_por_spot!$P$5:$P$173,MATCH($B21,Maos_por_spot!$A$5:$A$173,0))</f>
        <v>0.6</v>
      </c>
      <c r="F21" s="32" t="str">
        <f aca="false">INDEX(Maos_por_spot!$Q$5:$Q$173,MATCH($B21,Maos_por_spot!$A$5:$A$173,0))</f>
        <v>3bet</v>
      </c>
      <c r="G21" s="35" t="n">
        <f aca="false">D21*E21</f>
        <v>12.6</v>
      </c>
      <c r="H21" s="25" t="str">
        <f aca="false">IF(E21&gt;=0.8,"Erro claro: o solver quase sempre defende","Defende só em parte: pode estar certo")</f>
        <v>Defende só em parte: pode estar certo</v>
      </c>
    </row>
    <row r="22" customFormat="false" ht="15" hidden="false" customHeight="false" outlineLevel="0" collapsed="false">
      <c r="A22" s="23" t="s">
        <v>41</v>
      </c>
      <c r="B22" s="23" t="s">
        <v>140</v>
      </c>
      <c r="C22" s="32" t="str">
        <f aca="false">IF(RIGHT(B22,1)="o","Offsuit",IF(RIGHT(B22,1)="s","Suited","Par"))</f>
        <v>Offsuit</v>
      </c>
      <c r="D22" s="33" t="n">
        <f aca="false">INDEX(Folds_total!$E$5:$E$173,MATCH($B22,Folds_total!$A$5:$A$173,0))</f>
        <v>12</v>
      </c>
      <c r="E22" s="34" t="n">
        <f aca="false">INDEX(Maos_por_spot!$P$5:$P$173,MATCH($B22,Maos_por_spot!$A$5:$A$173,0))</f>
        <v>1</v>
      </c>
      <c r="F22" s="32" t="str">
        <f aca="false">INDEX(Maos_por_spot!$Q$5:$Q$173,MATCH($B22,Maos_por_spot!$A$5:$A$173,0))</f>
        <v>3bet/call</v>
      </c>
      <c r="G22" s="35" t="n">
        <f aca="false">D22*E22</f>
        <v>12</v>
      </c>
      <c r="H22" s="25" t="str">
        <f aca="false">IF(E22&gt;=0.8,"Erro claro: o solver quase sempre defende","Defende só em parte: pode estar certo")</f>
        <v>Erro claro: o solver quase sempre defende</v>
      </c>
    </row>
    <row r="23" customFormat="false" ht="15" hidden="false" customHeight="false" outlineLevel="0" collapsed="false">
      <c r="A23" s="23" t="s">
        <v>41</v>
      </c>
      <c r="B23" s="23" t="s">
        <v>151</v>
      </c>
      <c r="C23" s="32" t="str">
        <f aca="false">IF(RIGHT(B23,1)="o","Offsuit",IF(RIGHT(B23,1)="s","Suited","Par"))</f>
        <v>Offsuit</v>
      </c>
      <c r="D23" s="33" t="n">
        <f aca="false">INDEX(Folds_total!$E$5:$E$173,MATCH($B23,Folds_total!$A$5:$A$173,0))</f>
        <v>12</v>
      </c>
      <c r="E23" s="34" t="n">
        <f aca="false">INDEX(Maos_por_spot!$P$5:$P$173,MATCH($B23,Maos_por_spot!$A$5:$A$173,0))</f>
        <v>1</v>
      </c>
      <c r="F23" s="32" t="str">
        <f aca="false">INDEX(Maos_por_spot!$Q$5:$Q$173,MATCH($B23,Maos_por_spot!$A$5:$A$173,0))</f>
        <v>3bet</v>
      </c>
      <c r="G23" s="35" t="n">
        <f aca="false">D23*E23</f>
        <v>12</v>
      </c>
      <c r="H23" s="25" t="str">
        <f aca="false">IF(E23&gt;=0.8,"Erro claro: o solver quase sempre defende","Defende só em parte: pode estar certo")</f>
        <v>Erro claro: o solver quase sempre defende</v>
      </c>
    </row>
    <row r="24" customFormat="false" ht="15" hidden="false" customHeight="false" outlineLevel="0" collapsed="false">
      <c r="A24" s="23" t="s">
        <v>41</v>
      </c>
      <c r="B24" s="23" t="s">
        <v>119</v>
      </c>
      <c r="C24" s="32" t="str">
        <f aca="false">IF(RIGHT(B24,1)="o","Offsuit",IF(RIGHT(B24,1)="s","Suited","Par"))</f>
        <v>Suited</v>
      </c>
      <c r="D24" s="33" t="n">
        <f aca="false">INDEX(Folds_total!$E$5:$E$173,MATCH($B24,Folds_total!$A$5:$A$173,0))</f>
        <v>10</v>
      </c>
      <c r="E24" s="34" t="n">
        <f aca="false">INDEX(Maos_por_spot!$P$5:$P$173,MATCH($B24,Maos_por_spot!$A$5:$A$173,0))</f>
        <v>1</v>
      </c>
      <c r="F24" s="32" t="str">
        <f aca="false">INDEX(Maos_por_spot!$Q$5:$Q$173,MATCH($B24,Maos_por_spot!$A$5:$A$173,0))</f>
        <v>3bet/call</v>
      </c>
      <c r="G24" s="35" t="n">
        <f aca="false">D24*E24</f>
        <v>10</v>
      </c>
      <c r="H24" s="25" t="str">
        <f aca="false">IF(E24&gt;=0.8,"Erro claro: o solver quase sempre defende","Defende só em parte: pode estar certo")</f>
        <v>Erro claro: o solver quase sempre defende</v>
      </c>
    </row>
    <row r="25" customFormat="false" ht="15" hidden="false" customHeight="false" outlineLevel="0" collapsed="false">
      <c r="A25" s="23" t="s">
        <v>41</v>
      </c>
      <c r="B25" s="23" t="s">
        <v>108</v>
      </c>
      <c r="C25" s="32" t="str">
        <f aca="false">IF(RIGHT(B25,1)="o","Offsuit",IF(RIGHT(B25,1)="s","Suited","Par"))</f>
        <v>Suited</v>
      </c>
      <c r="D25" s="33" t="n">
        <f aca="false">INDEX(Folds_total!$E$5:$E$173,MATCH($B25,Folds_total!$A$5:$A$173,0))</f>
        <v>9</v>
      </c>
      <c r="E25" s="34" t="n">
        <f aca="false">INDEX(Maos_por_spot!$P$5:$P$173,MATCH($B25,Maos_por_spot!$A$5:$A$173,0))</f>
        <v>1</v>
      </c>
      <c r="F25" s="32" t="str">
        <f aca="false">INDEX(Maos_por_spot!$Q$5:$Q$173,MATCH($B25,Maos_por_spot!$A$5:$A$173,0))</f>
        <v>3bet/call</v>
      </c>
      <c r="G25" s="35" t="n">
        <f aca="false">D25*E25</f>
        <v>9</v>
      </c>
      <c r="H25" s="25" t="str">
        <f aca="false">IF(E25&gt;=0.8,"Erro claro: o solver quase sempre defende","Defende só em parte: pode estar certo")</f>
        <v>Erro claro: o solver quase sempre defende</v>
      </c>
    </row>
    <row r="26" customFormat="false" ht="15" hidden="false" customHeight="false" outlineLevel="0" collapsed="false">
      <c r="A26" s="23" t="s">
        <v>41</v>
      </c>
      <c r="B26" s="23" t="s">
        <v>254</v>
      </c>
      <c r="C26" s="32" t="str">
        <f aca="false">IF(RIGHT(B26,1)="o","Offsuit",IF(RIGHT(B26,1)="s","Suited","Par"))</f>
        <v>Par</v>
      </c>
      <c r="D26" s="33" t="n">
        <f aca="false">INDEX(Folds_total!$E$5:$E$173,MATCH($B26,Folds_total!$A$5:$A$173,0))</f>
        <v>8</v>
      </c>
      <c r="E26" s="34" t="n">
        <f aca="false">INDEX(Maos_por_spot!$P$5:$P$173,MATCH($B26,Maos_por_spot!$A$5:$A$173,0))</f>
        <v>1</v>
      </c>
      <c r="F26" s="32" t="str">
        <f aca="false">INDEX(Maos_por_spot!$Q$5:$Q$173,MATCH($B26,Maos_por_spot!$A$5:$A$173,0))</f>
        <v>Call</v>
      </c>
      <c r="G26" s="35" t="n">
        <f aca="false">D26*E26</f>
        <v>8</v>
      </c>
      <c r="H26" s="25" t="str">
        <f aca="false">IF(E26&gt;=0.8,"Erro claro: o solver quase sempre defende","Defende só em parte: pode estar certo")</f>
        <v>Erro claro: o solver quase sempre defende</v>
      </c>
    </row>
    <row r="27" customFormat="false" ht="15" hidden="false" customHeight="false" outlineLevel="0" collapsed="false">
      <c r="A27" s="23" t="s">
        <v>41</v>
      </c>
      <c r="B27" s="23" t="s">
        <v>127</v>
      </c>
      <c r="C27" s="32" t="str">
        <f aca="false">IF(RIGHT(B27,1)="o","Offsuit",IF(RIGHT(B27,1)="s","Suited","Par"))</f>
        <v>Offsuit</v>
      </c>
      <c r="D27" s="33" t="n">
        <f aca="false">INDEX(Folds_total!$E$5:$E$173,MATCH($B27,Folds_total!$A$5:$A$173,0))</f>
        <v>7</v>
      </c>
      <c r="E27" s="34" t="n">
        <f aca="false">INDEX(Maos_por_spot!$P$5:$P$173,MATCH($B27,Maos_por_spot!$A$5:$A$173,0))</f>
        <v>1</v>
      </c>
      <c r="F27" s="32" t="str">
        <f aca="false">INDEX(Maos_por_spot!$Q$5:$Q$173,MATCH($B27,Maos_por_spot!$A$5:$A$173,0))</f>
        <v>3bet/call</v>
      </c>
      <c r="G27" s="35" t="n">
        <f aca="false">D27*E27</f>
        <v>7</v>
      </c>
      <c r="H27" s="25" t="str">
        <f aca="false">IF(E27&gt;=0.8,"Erro claro: o solver quase sempre defende","Defende só em parte: pode estar certo")</f>
        <v>Erro claro: o solver quase sempre defende</v>
      </c>
    </row>
    <row r="28" customFormat="false" ht="15" hidden="false" customHeight="false" outlineLevel="0" collapsed="false">
      <c r="A28" s="23" t="s">
        <v>41</v>
      </c>
      <c r="B28" s="23" t="s">
        <v>213</v>
      </c>
      <c r="C28" s="32" t="str">
        <f aca="false">IF(RIGHT(B28,1)="o","Offsuit",IF(RIGHT(B28,1)="s","Suited","Par"))</f>
        <v>Suited</v>
      </c>
      <c r="D28" s="33" t="n">
        <f aca="false">INDEX(Folds_total!$E$5:$E$173,MATCH($B28,Folds_total!$A$5:$A$173,0))</f>
        <v>10</v>
      </c>
      <c r="E28" s="34" t="n">
        <f aca="false">INDEX(Maos_por_spot!$P$5:$P$173,MATCH($B28,Maos_por_spot!$A$5:$A$173,0))</f>
        <v>0.45</v>
      </c>
      <c r="F28" s="32" t="str">
        <f aca="false">INDEX(Maos_por_spot!$Q$5:$Q$173,MATCH($B28,Maos_por_spot!$A$5:$A$173,0))</f>
        <v>Call</v>
      </c>
      <c r="G28" s="35" t="n">
        <f aca="false">D28*E28</f>
        <v>4.5</v>
      </c>
      <c r="H28" s="25" t="str">
        <f aca="false">IF(E28&gt;=0.8,"Erro claro: o solver quase sempre defende","Defende só em parte: pode estar certo")</f>
        <v>Defende só em parte: pode estar certo</v>
      </c>
    </row>
    <row r="30" customFormat="false" ht="15" hidden="false" customHeight="false" outlineLevel="0" collapsed="false">
      <c r="A30" s="22" t="s">
        <v>292</v>
      </c>
    </row>
    <row r="31" customFormat="false" ht="15" hidden="false" customHeight="false" outlineLevel="0" collapsed="false">
      <c r="A31" s="4" t="s">
        <v>25</v>
      </c>
      <c r="B31" s="4" t="s">
        <v>62</v>
      </c>
      <c r="C31" s="4" t="s">
        <v>61</v>
      </c>
      <c r="D31" s="4" t="s">
        <v>293</v>
      </c>
      <c r="E31" s="4" t="s">
        <v>294</v>
      </c>
    </row>
    <row r="32" customFormat="false" ht="15" hidden="false" customHeight="false" outlineLevel="0" collapsed="false">
      <c r="A32" s="23" t="s">
        <v>39</v>
      </c>
      <c r="B32" s="26" t="n">
        <f aca="false">SUMIFS($D$5:$D$28,$A$5:$A$28,$A32,$C$5:$C$28,"Offsuit")</f>
        <v>7</v>
      </c>
      <c r="C32" s="26" t="n">
        <f aca="false">SUMIFS($D$5:$D$28,$A$5:$A$28,$A32,$C$5:$C$28,"Suited")</f>
        <v>8</v>
      </c>
      <c r="D32" s="26" t="n">
        <f aca="false">SUMIFS($D$5:$D$28,$A$5:$A$28,$A32,$C$5:$C$28,"Par")</f>
        <v>7</v>
      </c>
      <c r="E32" s="36" t="n">
        <f aca="false">SUM(B32:D32)</f>
        <v>22</v>
      </c>
    </row>
    <row r="33" customFormat="false" ht="15" hidden="false" customHeight="false" outlineLevel="0" collapsed="false">
      <c r="A33" s="23" t="s">
        <v>40</v>
      </c>
      <c r="B33" s="26" t="n">
        <f aca="false">SUMIFS($D$5:$D$28,$A$5:$A$28,$A33,$C$5:$C$28,"Offsuit")</f>
        <v>74</v>
      </c>
      <c r="C33" s="26" t="n">
        <f aca="false">SUMIFS($D$5:$D$28,$A$5:$A$28,$A33,$C$5:$C$28,"Suited")</f>
        <v>39</v>
      </c>
      <c r="D33" s="26" t="n">
        <f aca="false">SUMIFS($D$5:$D$28,$A$5:$A$28,$A33,$C$5:$C$28,"Par")</f>
        <v>7</v>
      </c>
      <c r="E33" s="36" t="n">
        <f aca="false">SUM(B33:D33)</f>
        <v>120</v>
      </c>
    </row>
    <row r="34" customFormat="false" ht="15" hidden="false" customHeight="false" outlineLevel="0" collapsed="false">
      <c r="A34" s="23" t="s">
        <v>41</v>
      </c>
      <c r="B34" s="26" t="n">
        <f aca="false">SUMIFS($D$5:$D$28,$A$5:$A$28,$A34,$C$5:$C$28,"Offsuit")</f>
        <v>100</v>
      </c>
      <c r="C34" s="26" t="n">
        <f aca="false">SUMIFS($D$5:$D$28,$A$5:$A$28,$A34,$C$5:$C$28,"Suited")</f>
        <v>29</v>
      </c>
      <c r="D34" s="26" t="n">
        <f aca="false">SUMIFS($D$5:$D$28,$A$5:$A$28,$A34,$C$5:$C$28,"Par")</f>
        <v>8</v>
      </c>
      <c r="E34" s="36" t="n">
        <f aca="false">SUM(B34:D34)</f>
        <v>137</v>
      </c>
    </row>
    <row r="36" customFormat="false" ht="15" hidden="false" customHeight="false" outlineLevel="0" collapsed="false">
      <c r="A36" s="37" t="s">
        <v>295</v>
      </c>
    </row>
    <row r="37" customFormat="false" ht="15" hidden="false" customHeight="false" outlineLevel="0" collapsed="false">
      <c r="A37" s="37" t="s">
        <v>296</v>
      </c>
    </row>
    <row r="38" customFormat="false" ht="15" hidden="false" customHeight="false" outlineLevel="0" collapsed="false">
      <c r="A38" s="37" t="s">
        <v>297</v>
      </c>
    </row>
    <row r="39" customFormat="false" ht="15" hidden="false" customHeight="false" outlineLevel="0" collapsed="false">
      <c r="A39" s="37" t="s">
        <v>298</v>
      </c>
    </row>
    <row r="40" customFormat="false" ht="15" hidden="false" customHeight="false" outlineLevel="0" collapsed="false">
      <c r="A40" s="37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4" min="3" style="1" width="10"/>
    <col collapsed="false" customWidth="true" hidden="false" outlineLevel="0" max="5" min="5" style="1" width="8"/>
    <col collapsed="false" customWidth="true" hidden="false" outlineLevel="0" max="7" min="6" style="1" width="12"/>
    <col collapsed="false" customWidth="true" hidden="false" outlineLevel="0" max="8" min="8" style="1" width="14"/>
    <col collapsed="false" customWidth="true" hidden="false" outlineLevel="0" max="9" min="9" style="1" width="24"/>
  </cols>
  <sheetData>
    <row r="1" customFormat="false" ht="17.25" hidden="false" customHeight="true" outlineLevel="0" collapsed="false">
      <c r="A1" s="2" t="s">
        <v>300</v>
      </c>
    </row>
    <row r="2" customFormat="false" ht="15" hidden="false" customHeight="true" outlineLevel="0" collapsed="false">
      <c r="A2" s="3" t="s">
        <v>301</v>
      </c>
    </row>
    <row r="4" customFormat="false" ht="23.25" hidden="false" customHeight="true" outlineLevel="0" collapsed="false">
      <c r="A4" s="38" t="s">
        <v>25</v>
      </c>
      <c r="B4" s="38" t="s">
        <v>77</v>
      </c>
      <c r="C4" s="38" t="s">
        <v>302</v>
      </c>
      <c r="D4" s="38" t="s">
        <v>303</v>
      </c>
      <c r="E4" s="38" t="s">
        <v>304</v>
      </c>
      <c r="F4" s="38" t="s">
        <v>305</v>
      </c>
      <c r="G4" s="38" t="s">
        <v>306</v>
      </c>
      <c r="H4" s="38" t="s">
        <v>288</v>
      </c>
      <c r="I4" s="38" t="s">
        <v>307</v>
      </c>
    </row>
    <row r="5" customFormat="false" ht="15" hidden="false" customHeight="true" outlineLevel="0" collapsed="false">
      <c r="A5" s="5" t="s">
        <v>39</v>
      </c>
      <c r="B5" s="39" t="s">
        <v>105</v>
      </c>
      <c r="C5" s="40" t="n">
        <f aca="false">INDEX(Folds_lidos!$D$5:$D$173,MATCH($B5,Folds_lidos!$A$5:$A$173,0))</f>
        <v>3</v>
      </c>
      <c r="D5" s="40" t="n">
        <f aca="false">INDEX(Folds_lidos!$E$5:$E$173,MATCH($B5,Folds_lidos!$A$5:$A$173,0))</f>
        <v>3</v>
      </c>
      <c r="E5" s="9" t="n">
        <f aca="false">C5+D5</f>
        <v>6</v>
      </c>
      <c r="F5" s="41" t="n">
        <f aca="false">INDEX(Maos_por_spot!$F$5:$F$173,MATCH($B5,Maos_por_spot!$A$5:$A$173,0))</f>
        <v>0.55</v>
      </c>
      <c r="G5" s="41" t="n">
        <f aca="false">INDEX(Maos_por_spot!$G$5:$G$173,MATCH($B5,Maos_por_spot!$A$5:$A$173,0))</f>
        <v>0</v>
      </c>
      <c r="H5" s="41" t="n">
        <f aca="false">INDEX(Maos_por_spot!$H$5:$H$173,MATCH($B5,Maos_por_spot!$A$5:$A$173,0))</f>
        <v>0.55</v>
      </c>
      <c r="I5" s="9" t="str">
        <f aca="false">IF(H5&lt;0.2,"Fold",IF(AND(F5&gt;=0.2,G5&gt;=0.2),"3bet/call",IF(F5&gt;=G5,"3bet","Call")))</f>
        <v>3bet</v>
      </c>
    </row>
    <row r="6" customFormat="false" ht="15" hidden="false" customHeight="true" outlineLevel="0" collapsed="false">
      <c r="A6" s="5" t="s">
        <v>39</v>
      </c>
      <c r="B6" s="39" t="s">
        <v>126</v>
      </c>
      <c r="C6" s="40" t="n">
        <f aca="false">INDEX(Folds_lidos!$D$5:$D$173,MATCH($B6,Folds_lidos!$A$5:$A$173,0))</f>
        <v>2</v>
      </c>
      <c r="D6" s="40" t="n">
        <f aca="false">INDEX(Folds_lidos!$E$5:$E$173,MATCH($B6,Folds_lidos!$A$5:$A$173,0))</f>
        <v>3</v>
      </c>
      <c r="E6" s="9" t="n">
        <f aca="false">C6+D6</f>
        <v>5</v>
      </c>
      <c r="F6" s="41" t="n">
        <f aca="false">INDEX(Maos_por_spot!$F$5:$F$173,MATCH($B6,Maos_por_spot!$A$5:$A$173,0))</f>
        <v>0.3</v>
      </c>
      <c r="G6" s="41" t="n">
        <f aca="false">INDEX(Maos_por_spot!$G$5:$G$173,MATCH($B6,Maos_por_spot!$A$5:$A$173,0))</f>
        <v>0.2</v>
      </c>
      <c r="H6" s="41" t="n">
        <f aca="false">INDEX(Maos_por_spot!$H$5:$H$173,MATCH($B6,Maos_por_spot!$A$5:$A$173,0))</f>
        <v>0.5</v>
      </c>
      <c r="I6" s="9" t="str">
        <f aca="false">IF(H6&lt;0.2,"Fold",IF(AND(F6&gt;=0.2,G6&gt;=0.2),"3bet/call",IF(F6&gt;=G6,"3bet","Call")))</f>
        <v>3bet/call</v>
      </c>
    </row>
    <row r="7" customFormat="false" ht="15" hidden="false" customHeight="true" outlineLevel="0" collapsed="false">
      <c r="A7" s="5" t="s">
        <v>39</v>
      </c>
      <c r="B7" s="39" t="s">
        <v>226</v>
      </c>
      <c r="C7" s="40" t="n">
        <f aca="false">INDEX(Folds_lidos!$D$5:$D$173,MATCH($B7,Folds_lidos!$A$5:$A$173,0))</f>
        <v>2</v>
      </c>
      <c r="D7" s="40" t="n">
        <f aca="false">INDEX(Folds_lidos!$E$5:$E$173,MATCH($B7,Folds_lidos!$A$5:$A$173,0))</f>
        <v>2</v>
      </c>
      <c r="E7" s="9" t="n">
        <f aca="false">C7+D7</f>
        <v>4</v>
      </c>
      <c r="F7" s="41" t="n">
        <f aca="false">INDEX(Maos_por_spot!$F$5:$F$173,MATCH($B7,Maos_por_spot!$A$5:$A$173,0))</f>
        <v>0</v>
      </c>
      <c r="G7" s="41" t="n">
        <f aca="false">INDEX(Maos_por_spot!$G$5:$G$173,MATCH($B7,Maos_por_spot!$A$5:$A$173,0))</f>
        <v>0.4</v>
      </c>
      <c r="H7" s="41" t="n">
        <f aca="false">INDEX(Maos_por_spot!$H$5:$H$173,MATCH($B7,Maos_por_spot!$A$5:$A$173,0))</f>
        <v>0.4</v>
      </c>
      <c r="I7" s="9" t="str">
        <f aca="false">IF(H7&lt;0.2,"Fold",IF(AND(F7&gt;=0.2,G7&gt;=0.2),"3bet/call",IF(F7&gt;=G7,"3bet","Call")))</f>
        <v>Call</v>
      </c>
    </row>
    <row r="8" customFormat="false" ht="15" hidden="false" customHeight="true" outlineLevel="0" collapsed="false">
      <c r="A8" s="5" t="s">
        <v>39</v>
      </c>
      <c r="B8" s="39" t="s">
        <v>129</v>
      </c>
      <c r="C8" s="40" t="n">
        <f aca="false">INDEX(Folds_lidos!$D$5:$D$173,MATCH($B8,Folds_lidos!$A$5:$A$173,0))</f>
        <v>0</v>
      </c>
      <c r="D8" s="40" t="n">
        <f aca="false">INDEX(Folds_lidos!$E$5:$E$173,MATCH($B8,Folds_lidos!$A$5:$A$173,0))</f>
        <v>3</v>
      </c>
      <c r="E8" s="9" t="n">
        <f aca="false">C8+D8</f>
        <v>3</v>
      </c>
      <c r="F8" s="41" t="n">
        <f aca="false">INDEX(Maos_por_spot!$F$5:$F$173,MATCH($B8,Maos_por_spot!$A$5:$A$173,0))</f>
        <v>0.3</v>
      </c>
      <c r="G8" s="41" t="n">
        <f aca="false">INDEX(Maos_por_spot!$G$5:$G$173,MATCH($B8,Maos_por_spot!$A$5:$A$173,0))</f>
        <v>0.7</v>
      </c>
      <c r="H8" s="41" t="n">
        <f aca="false">INDEX(Maos_por_spot!$H$5:$H$173,MATCH($B8,Maos_por_spot!$A$5:$A$173,0))</f>
        <v>1</v>
      </c>
      <c r="I8" s="9" t="str">
        <f aca="false">IF(H8&lt;0.2,"Fold",IF(AND(F8&gt;=0.2,G8&gt;=0.2),"3bet/call",IF(F8&gt;=G8,"3bet","Call")))</f>
        <v>3bet/call</v>
      </c>
    </row>
    <row r="9" customFormat="false" ht="15" hidden="false" customHeight="true" outlineLevel="0" collapsed="false">
      <c r="A9" s="5" t="s">
        <v>39</v>
      </c>
      <c r="B9" s="39" t="s">
        <v>130</v>
      </c>
      <c r="C9" s="40" t="n">
        <f aca="false">INDEX(Folds_lidos!$D$5:$D$173,MATCH($B9,Folds_lidos!$A$5:$A$173,0))</f>
        <v>2</v>
      </c>
      <c r="D9" s="40" t="n">
        <f aca="false">INDEX(Folds_lidos!$E$5:$E$173,MATCH($B9,Folds_lidos!$A$5:$A$173,0))</f>
        <v>1</v>
      </c>
      <c r="E9" s="9" t="n">
        <f aca="false">C9+D9</f>
        <v>3</v>
      </c>
      <c r="F9" s="41" t="n">
        <f aca="false">INDEX(Maos_por_spot!$F$5:$F$173,MATCH($B9,Maos_por_spot!$A$5:$A$173,0))</f>
        <v>0.7</v>
      </c>
      <c r="G9" s="41" t="n">
        <f aca="false">INDEX(Maos_por_spot!$G$5:$G$173,MATCH($B9,Maos_por_spot!$A$5:$A$173,0))</f>
        <v>0.3</v>
      </c>
      <c r="H9" s="41" t="n">
        <f aca="false">INDEX(Maos_por_spot!$H$5:$H$173,MATCH($B9,Maos_por_spot!$A$5:$A$173,0))</f>
        <v>1</v>
      </c>
      <c r="I9" s="9" t="str">
        <f aca="false">IF(H9&lt;0.2,"Fold",IF(AND(F9&gt;=0.2,G9&gt;=0.2),"3bet/call",IF(F9&gt;=G9,"3bet","Call")))</f>
        <v>3bet/call</v>
      </c>
    </row>
    <row r="10" customFormat="false" ht="15" hidden="false" customHeight="true" outlineLevel="0" collapsed="false">
      <c r="A10" s="5" t="s">
        <v>39</v>
      </c>
      <c r="B10" s="39" t="s">
        <v>144</v>
      </c>
      <c r="C10" s="40" t="n">
        <f aca="false">INDEX(Folds_lidos!$D$5:$D$173,MATCH($B10,Folds_lidos!$A$5:$A$173,0))</f>
        <v>0</v>
      </c>
      <c r="D10" s="40" t="n">
        <f aca="false">INDEX(Folds_lidos!$E$5:$E$173,MATCH($B10,Folds_lidos!$A$5:$A$173,0))</f>
        <v>3</v>
      </c>
      <c r="E10" s="9" t="n">
        <f aca="false">C10+D10</f>
        <v>3</v>
      </c>
      <c r="F10" s="41" t="n">
        <f aca="false">INDEX(Maos_por_spot!$F$5:$F$173,MATCH($B10,Maos_por_spot!$A$5:$A$173,0))</f>
        <v>0.35</v>
      </c>
      <c r="G10" s="41" t="n">
        <f aca="false">INDEX(Maos_por_spot!$G$5:$G$173,MATCH($B10,Maos_por_spot!$A$5:$A$173,0))</f>
        <v>0.1</v>
      </c>
      <c r="H10" s="41" t="n">
        <f aca="false">INDEX(Maos_por_spot!$H$5:$H$173,MATCH($B10,Maos_por_spot!$A$5:$A$173,0))</f>
        <v>0.45</v>
      </c>
      <c r="I10" s="9" t="str">
        <f aca="false">IF(H10&lt;0.2,"Fold",IF(AND(F10&gt;=0.2,G10&gt;=0.2),"3bet/call",IF(F10&gt;=G10,"3bet","Call")))</f>
        <v>3bet</v>
      </c>
    </row>
    <row r="11" customFormat="false" ht="15" hidden="false" customHeight="true" outlineLevel="0" collapsed="false">
      <c r="A11" s="5" t="s">
        <v>40</v>
      </c>
      <c r="B11" s="39" t="s">
        <v>164</v>
      </c>
      <c r="C11" s="40" t="n">
        <f aca="false">INDEX(Folds_lidos!$F$5:$F$173,MATCH($B11,Folds_lidos!$A$5:$A$173,0))</f>
        <v>16</v>
      </c>
      <c r="D11" s="40" t="n">
        <f aca="false">INDEX(Folds_lidos!$G$5:$G$173,MATCH($B11,Folds_lidos!$A$5:$A$173,0))</f>
        <v>11</v>
      </c>
      <c r="E11" s="9" t="n">
        <f aca="false">C11+D11</f>
        <v>27</v>
      </c>
      <c r="F11" s="41" t="n">
        <f aca="false">INDEX(Maos_por_spot!$J$5:$J$173,MATCH($B11,Maos_por_spot!$A$5:$A$173,0))</f>
        <v>0.4</v>
      </c>
      <c r="G11" s="41" t="n">
        <f aca="false">INDEX(Maos_por_spot!$K$5:$K$173,MATCH($B11,Maos_por_spot!$A$5:$A$173,0))</f>
        <v>0</v>
      </c>
      <c r="H11" s="41" t="n">
        <f aca="false">INDEX(Maos_por_spot!$L$5:$L$173,MATCH($B11,Maos_por_spot!$A$5:$A$173,0))</f>
        <v>0.4</v>
      </c>
      <c r="I11" s="9" t="str">
        <f aca="false">IF(H11&lt;0.2,"Fold",IF(AND(F11&gt;=0.2,G11&gt;=0.2),"3bet/call",IF(F11&gt;=G11,"3bet","Call")))</f>
        <v>3bet</v>
      </c>
    </row>
    <row r="12" customFormat="false" ht="15" hidden="false" customHeight="true" outlineLevel="0" collapsed="false">
      <c r="A12" s="5" t="s">
        <v>40</v>
      </c>
      <c r="B12" s="39" t="s">
        <v>127</v>
      </c>
      <c r="C12" s="40" t="n">
        <f aca="false">INDEX(Folds_lidos!$F$5:$F$173,MATCH($B12,Folds_lidos!$A$5:$A$173,0))</f>
        <v>3</v>
      </c>
      <c r="D12" s="40" t="n">
        <f aca="false">INDEX(Folds_lidos!$G$5:$G$173,MATCH($B12,Folds_lidos!$A$5:$A$173,0))</f>
        <v>5</v>
      </c>
      <c r="E12" s="9" t="n">
        <f aca="false">C12+D12</f>
        <v>8</v>
      </c>
      <c r="F12" s="41" t="n">
        <f aca="false">INDEX(Maos_por_spot!$J$5:$J$173,MATCH($B12,Maos_por_spot!$A$5:$A$173,0))</f>
        <v>0.45</v>
      </c>
      <c r="G12" s="41" t="n">
        <f aca="false">INDEX(Maos_por_spot!$K$5:$K$173,MATCH($B12,Maos_por_spot!$A$5:$A$173,0))</f>
        <v>0.55</v>
      </c>
      <c r="H12" s="41" t="n">
        <f aca="false">INDEX(Maos_por_spot!$L$5:$L$173,MATCH($B12,Maos_por_spot!$A$5:$A$173,0))</f>
        <v>1</v>
      </c>
      <c r="I12" s="9" t="str">
        <f aca="false">IF(H12&lt;0.2,"Fold",IF(AND(F12&gt;=0.2,G12&gt;=0.2),"3bet/call",IF(F12&gt;=G12,"3bet","Call")))</f>
        <v>3bet/call</v>
      </c>
    </row>
    <row r="13" customFormat="false" ht="15" hidden="false" customHeight="true" outlineLevel="0" collapsed="false">
      <c r="A13" s="5" t="s">
        <v>40</v>
      </c>
      <c r="B13" s="39" t="s">
        <v>139</v>
      </c>
      <c r="C13" s="40" t="n">
        <f aca="false">INDEX(Folds_lidos!$F$5:$F$173,MATCH($B13,Folds_lidos!$A$5:$A$173,0))</f>
        <v>1</v>
      </c>
      <c r="D13" s="40" t="n">
        <f aca="false">INDEX(Folds_lidos!$G$5:$G$173,MATCH($B13,Folds_lidos!$A$5:$A$173,0))</f>
        <v>7</v>
      </c>
      <c r="E13" s="9" t="n">
        <f aca="false">C13+D13</f>
        <v>8</v>
      </c>
      <c r="F13" s="41" t="n">
        <f aca="false">INDEX(Maos_por_spot!$J$5:$J$173,MATCH($B13,Maos_por_spot!$A$5:$A$173,0))</f>
        <v>0.4</v>
      </c>
      <c r="G13" s="41" t="n">
        <f aca="false">INDEX(Maos_por_spot!$K$5:$K$173,MATCH($B13,Maos_por_spot!$A$5:$A$173,0))</f>
        <v>0.6</v>
      </c>
      <c r="H13" s="41" t="n">
        <f aca="false">INDEX(Maos_por_spot!$L$5:$L$173,MATCH($B13,Maos_por_spot!$A$5:$A$173,0))</f>
        <v>1</v>
      </c>
      <c r="I13" s="9" t="str">
        <f aca="false">IF(H13&lt;0.2,"Fold",IF(AND(F13&gt;=0.2,G13&gt;=0.2),"3bet/call",IF(F13&gt;=G13,"3bet","Call")))</f>
        <v>3bet/call</v>
      </c>
    </row>
    <row r="14" customFormat="false" ht="15" hidden="false" customHeight="true" outlineLevel="0" collapsed="false">
      <c r="A14" s="5" t="s">
        <v>40</v>
      </c>
      <c r="B14" s="39" t="s">
        <v>151</v>
      </c>
      <c r="C14" s="40" t="n">
        <f aca="false">INDEX(Folds_lidos!$F$5:$F$173,MATCH($B14,Folds_lidos!$A$5:$A$173,0))</f>
        <v>5</v>
      </c>
      <c r="D14" s="40" t="n">
        <f aca="false">INDEX(Folds_lidos!$G$5:$G$173,MATCH($B14,Folds_lidos!$A$5:$A$173,0))</f>
        <v>3</v>
      </c>
      <c r="E14" s="9" t="n">
        <f aca="false">C14+D14</f>
        <v>8</v>
      </c>
      <c r="F14" s="41" t="n">
        <f aca="false">INDEX(Maos_por_spot!$J$5:$J$173,MATCH($B14,Maos_por_spot!$A$5:$A$173,0))</f>
        <v>0.75</v>
      </c>
      <c r="G14" s="41" t="n">
        <f aca="false">INDEX(Maos_por_spot!$K$5:$K$173,MATCH($B14,Maos_por_spot!$A$5:$A$173,0))</f>
        <v>0.25</v>
      </c>
      <c r="H14" s="41" t="n">
        <f aca="false">INDEX(Maos_por_spot!$L$5:$L$173,MATCH($B14,Maos_por_spot!$A$5:$A$173,0))</f>
        <v>1</v>
      </c>
      <c r="I14" s="9" t="str">
        <f aca="false">IF(H14&lt;0.2,"Fold",IF(AND(F14&gt;=0.2,G14&gt;=0.2),"3bet/call",IF(F14&gt;=G14,"3bet","Call")))</f>
        <v>3bet/call</v>
      </c>
    </row>
    <row r="15" customFormat="false" ht="15" hidden="false" customHeight="true" outlineLevel="0" collapsed="false">
      <c r="A15" s="5" t="s">
        <v>40</v>
      </c>
      <c r="B15" s="39" t="s">
        <v>118</v>
      </c>
      <c r="C15" s="40" t="n">
        <f aca="false">INDEX(Folds_lidos!$F$5:$F$173,MATCH($B15,Folds_lidos!$A$5:$A$173,0))</f>
        <v>3</v>
      </c>
      <c r="D15" s="40" t="n">
        <f aca="false">INDEX(Folds_lidos!$G$5:$G$173,MATCH($B15,Folds_lidos!$A$5:$A$173,0))</f>
        <v>4</v>
      </c>
      <c r="E15" s="9" t="n">
        <f aca="false">C15+D15</f>
        <v>7</v>
      </c>
      <c r="F15" s="41" t="n">
        <f aca="false">INDEX(Maos_por_spot!$J$5:$J$173,MATCH($B15,Maos_por_spot!$A$5:$A$173,0))</f>
        <v>0.85</v>
      </c>
      <c r="G15" s="41" t="n">
        <f aca="false">INDEX(Maos_por_spot!$K$5:$K$173,MATCH($B15,Maos_por_spot!$A$5:$A$173,0))</f>
        <v>0.15</v>
      </c>
      <c r="H15" s="41" t="n">
        <f aca="false">INDEX(Maos_por_spot!$L$5:$L$173,MATCH($B15,Maos_por_spot!$A$5:$A$173,0))</f>
        <v>1</v>
      </c>
      <c r="I15" s="9" t="str">
        <f aca="false">IF(H15&lt;0.2,"Fold",IF(AND(F15&gt;=0.2,G15&gt;=0.2),"3bet/call",IF(F15&gt;=G15,"3bet","Call")))</f>
        <v>3bet</v>
      </c>
    </row>
    <row r="16" customFormat="false" ht="15" hidden="false" customHeight="true" outlineLevel="0" collapsed="false">
      <c r="A16" s="5" t="s">
        <v>40</v>
      </c>
      <c r="B16" s="39" t="s">
        <v>171</v>
      </c>
      <c r="C16" s="40" t="n">
        <f aca="false">INDEX(Folds_lidos!$F$5:$F$173,MATCH($B16,Folds_lidos!$A$5:$A$173,0))</f>
        <v>3</v>
      </c>
      <c r="D16" s="40" t="n">
        <f aca="false">INDEX(Folds_lidos!$G$5:$G$173,MATCH($B16,Folds_lidos!$A$5:$A$173,0))</f>
        <v>4</v>
      </c>
      <c r="E16" s="9" t="n">
        <f aca="false">C16+D16</f>
        <v>7</v>
      </c>
      <c r="F16" s="41" t="n">
        <f aca="false">INDEX(Maos_por_spot!$J$5:$J$173,MATCH($B16,Maos_por_spot!$A$5:$A$173,0))</f>
        <v>0.2</v>
      </c>
      <c r="G16" s="41" t="n">
        <f aca="false">INDEX(Maos_por_spot!$K$5:$K$173,MATCH($B16,Maos_por_spot!$A$5:$A$173,0))</f>
        <v>0.8</v>
      </c>
      <c r="H16" s="41" t="n">
        <f aca="false">INDEX(Maos_por_spot!$L$5:$L$173,MATCH($B16,Maos_por_spot!$A$5:$A$173,0))</f>
        <v>1</v>
      </c>
      <c r="I16" s="9" t="str">
        <f aca="false">IF(H16&lt;0.2,"Fold",IF(AND(F16&gt;=0.2,G16&gt;=0.2),"3bet/call",IF(F16&gt;=G16,"3bet","Call")))</f>
        <v>3bet/call</v>
      </c>
    </row>
    <row r="17" customFormat="false" ht="15" hidden="false" customHeight="true" outlineLevel="0" collapsed="false">
      <c r="A17" s="5" t="s">
        <v>40</v>
      </c>
      <c r="B17" s="39" t="s">
        <v>144</v>
      </c>
      <c r="C17" s="40" t="n">
        <f aca="false">INDEX(Folds_lidos!$F$5:$F$173,MATCH($B17,Folds_lidos!$A$5:$A$173,0))</f>
        <v>3</v>
      </c>
      <c r="D17" s="40" t="n">
        <f aca="false">INDEX(Folds_lidos!$G$5:$G$173,MATCH($B17,Folds_lidos!$A$5:$A$173,0))</f>
        <v>3</v>
      </c>
      <c r="E17" s="9" t="n">
        <f aca="false">C17+D17</f>
        <v>6</v>
      </c>
      <c r="F17" s="41" t="n">
        <f aca="false">INDEX(Maos_por_spot!$J$5:$J$173,MATCH($B17,Maos_por_spot!$A$5:$A$173,0))</f>
        <v>0.2</v>
      </c>
      <c r="G17" s="41" t="n">
        <f aca="false">INDEX(Maos_por_spot!$K$5:$K$173,MATCH($B17,Maos_por_spot!$A$5:$A$173,0))</f>
        <v>0.8</v>
      </c>
      <c r="H17" s="41" t="n">
        <f aca="false">INDEX(Maos_por_spot!$L$5:$L$173,MATCH($B17,Maos_por_spot!$A$5:$A$173,0))</f>
        <v>1</v>
      </c>
      <c r="I17" s="9" t="str">
        <f aca="false">IF(H17&lt;0.2,"Fold",IF(AND(F17&gt;=0.2,G17&gt;=0.2),"3bet/call",IF(F17&gt;=G17,"3bet","Call")))</f>
        <v>3bet/call</v>
      </c>
    </row>
    <row r="18" customFormat="false" ht="15" hidden="false" customHeight="true" outlineLevel="0" collapsed="false">
      <c r="A18" s="5" t="s">
        <v>40</v>
      </c>
      <c r="B18" s="39" t="s">
        <v>107</v>
      </c>
      <c r="C18" s="40" t="n">
        <f aca="false">INDEX(Folds_lidos!$F$5:$F$173,MATCH($B18,Folds_lidos!$A$5:$A$173,0))</f>
        <v>2</v>
      </c>
      <c r="D18" s="40" t="n">
        <f aca="false">INDEX(Folds_lidos!$G$5:$G$173,MATCH($B18,Folds_lidos!$A$5:$A$173,0))</f>
        <v>3</v>
      </c>
      <c r="E18" s="9" t="n">
        <f aca="false">C18+D18</f>
        <v>5</v>
      </c>
      <c r="F18" s="41" t="n">
        <f aca="false">INDEX(Maos_por_spot!$J$5:$J$173,MATCH($B18,Maos_por_spot!$A$5:$A$173,0))</f>
        <v>0.35</v>
      </c>
      <c r="G18" s="41" t="n">
        <f aca="false">INDEX(Maos_por_spot!$K$5:$K$173,MATCH($B18,Maos_por_spot!$A$5:$A$173,0))</f>
        <v>0.45</v>
      </c>
      <c r="H18" s="41" t="n">
        <f aca="false">INDEX(Maos_por_spot!$L$5:$L$173,MATCH($B18,Maos_por_spot!$A$5:$A$173,0))</f>
        <v>0.8</v>
      </c>
      <c r="I18" s="9" t="str">
        <f aca="false">IF(H18&lt;0.2,"Fold",IF(AND(F18&gt;=0.2,G18&gt;=0.2),"3bet/call",IF(F18&gt;=G18,"3bet","Call")))</f>
        <v>3bet/call</v>
      </c>
    </row>
    <row r="19" customFormat="false" ht="15" hidden="false" customHeight="true" outlineLevel="0" collapsed="false">
      <c r="A19" s="5" t="s">
        <v>40</v>
      </c>
      <c r="B19" s="39" t="s">
        <v>158</v>
      </c>
      <c r="C19" s="40" t="n">
        <f aca="false">INDEX(Folds_lidos!$F$5:$F$173,MATCH($B19,Folds_lidos!$A$5:$A$173,0))</f>
        <v>1</v>
      </c>
      <c r="D19" s="40" t="n">
        <f aca="false">INDEX(Folds_lidos!$G$5:$G$173,MATCH($B19,Folds_lidos!$A$5:$A$173,0))</f>
        <v>4</v>
      </c>
      <c r="E19" s="9" t="n">
        <f aca="false">C19+D19</f>
        <v>5</v>
      </c>
      <c r="F19" s="41" t="n">
        <f aca="false">INDEX(Maos_por_spot!$J$5:$J$173,MATCH($B19,Maos_por_spot!$A$5:$A$173,0))</f>
        <v>0.3</v>
      </c>
      <c r="G19" s="41" t="n">
        <f aca="false">INDEX(Maos_por_spot!$K$5:$K$173,MATCH($B19,Maos_por_spot!$A$5:$A$173,0))</f>
        <v>0</v>
      </c>
      <c r="H19" s="41" t="n">
        <f aca="false">INDEX(Maos_por_spot!$L$5:$L$173,MATCH($B19,Maos_por_spot!$A$5:$A$173,0))</f>
        <v>0.3</v>
      </c>
      <c r="I19" s="9" t="str">
        <f aca="false">IF(H19&lt;0.2,"Fold",IF(AND(F19&gt;=0.2,G19&gt;=0.2),"3bet/call",IF(F19&gt;=G19,"3bet","Call")))</f>
        <v>3bet</v>
      </c>
    </row>
    <row r="20" customFormat="false" ht="15" hidden="false" customHeight="true" outlineLevel="0" collapsed="false">
      <c r="A20" s="5" t="s">
        <v>40</v>
      </c>
      <c r="B20" s="39" t="s">
        <v>106</v>
      </c>
      <c r="C20" s="40" t="n">
        <f aca="false">INDEX(Folds_lidos!$F$5:$F$173,MATCH($B20,Folds_lidos!$A$5:$A$173,0))</f>
        <v>3</v>
      </c>
      <c r="D20" s="40" t="n">
        <f aca="false">INDEX(Folds_lidos!$G$5:$G$173,MATCH($B20,Folds_lidos!$A$5:$A$173,0))</f>
        <v>1</v>
      </c>
      <c r="E20" s="9" t="n">
        <f aca="false">C20+D20</f>
        <v>4</v>
      </c>
      <c r="F20" s="41" t="n">
        <f aca="false">INDEX(Maos_por_spot!$J$5:$J$173,MATCH($B20,Maos_por_spot!$A$5:$A$173,0))</f>
        <v>0.65</v>
      </c>
      <c r="G20" s="41" t="n">
        <f aca="false">INDEX(Maos_por_spot!$K$5:$K$173,MATCH($B20,Maos_por_spot!$A$5:$A$173,0))</f>
        <v>0.35</v>
      </c>
      <c r="H20" s="41" t="n">
        <f aca="false">INDEX(Maos_por_spot!$L$5:$L$173,MATCH($B20,Maos_por_spot!$A$5:$A$173,0))</f>
        <v>1</v>
      </c>
      <c r="I20" s="9" t="str">
        <f aca="false">IF(H20&lt;0.2,"Fold",IF(AND(F20&gt;=0.2,G20&gt;=0.2),"3bet/call",IF(F20&gt;=G20,"3bet","Call")))</f>
        <v>3bet/call</v>
      </c>
    </row>
    <row r="21" customFormat="false" ht="15" hidden="false" customHeight="true" outlineLevel="0" collapsed="false">
      <c r="A21" s="5" t="s">
        <v>40</v>
      </c>
      <c r="B21" s="39" t="s">
        <v>126</v>
      </c>
      <c r="C21" s="40" t="n">
        <f aca="false">INDEX(Folds_lidos!$F$5:$F$173,MATCH($B21,Folds_lidos!$A$5:$A$173,0))</f>
        <v>2</v>
      </c>
      <c r="D21" s="40" t="n">
        <f aca="false">INDEX(Folds_lidos!$G$5:$G$173,MATCH($B21,Folds_lidos!$A$5:$A$173,0))</f>
        <v>2</v>
      </c>
      <c r="E21" s="9" t="n">
        <f aca="false">C21+D21</f>
        <v>4</v>
      </c>
      <c r="F21" s="41" t="n">
        <f aca="false">INDEX(Maos_por_spot!$J$5:$J$173,MATCH($B21,Maos_por_spot!$A$5:$A$173,0))</f>
        <v>0.2</v>
      </c>
      <c r="G21" s="41" t="n">
        <f aca="false">INDEX(Maos_por_spot!$K$5:$K$173,MATCH($B21,Maos_por_spot!$A$5:$A$173,0))</f>
        <v>0.8</v>
      </c>
      <c r="H21" s="41" t="n">
        <f aca="false">INDEX(Maos_por_spot!$L$5:$L$173,MATCH($B21,Maos_por_spot!$A$5:$A$173,0))</f>
        <v>1</v>
      </c>
      <c r="I21" s="9" t="str">
        <f aca="false">IF(H21&lt;0.2,"Fold",IF(AND(F21&gt;=0.2,G21&gt;=0.2),"3bet/call",IF(F21&gt;=G21,"3bet","Call")))</f>
        <v>3bet/call</v>
      </c>
    </row>
    <row r="22" customFormat="false" ht="15" hidden="false" customHeight="true" outlineLevel="0" collapsed="false">
      <c r="A22" s="5" t="s">
        <v>40</v>
      </c>
      <c r="B22" s="39" t="s">
        <v>254</v>
      </c>
      <c r="C22" s="40" t="n">
        <f aca="false">INDEX(Folds_lidos!$F$5:$F$173,MATCH($B22,Folds_lidos!$A$5:$A$173,0))</f>
        <v>2</v>
      </c>
      <c r="D22" s="40" t="n">
        <f aca="false">INDEX(Folds_lidos!$G$5:$G$173,MATCH($B22,Folds_lidos!$A$5:$A$173,0))</f>
        <v>2</v>
      </c>
      <c r="E22" s="9" t="n">
        <f aca="false">C22+D22</f>
        <v>4</v>
      </c>
      <c r="F22" s="41" t="n">
        <f aca="false">INDEX(Maos_por_spot!$J$5:$J$173,MATCH($B22,Maos_por_spot!$A$5:$A$173,0))</f>
        <v>0</v>
      </c>
      <c r="G22" s="41" t="n">
        <f aca="false">INDEX(Maos_por_spot!$K$5:$K$173,MATCH($B22,Maos_por_spot!$A$5:$A$173,0))</f>
        <v>1</v>
      </c>
      <c r="H22" s="41" t="n">
        <f aca="false">INDEX(Maos_por_spot!$L$5:$L$173,MATCH($B22,Maos_por_spot!$A$5:$A$173,0))</f>
        <v>1</v>
      </c>
      <c r="I22" s="9" t="str">
        <f aca="false">IF(H22&lt;0.2,"Fold",IF(AND(F22&gt;=0.2,G22&gt;=0.2),"3bet/call",IF(F22&gt;=G22,"3bet","Call")))</f>
        <v>Call</v>
      </c>
    </row>
    <row r="23" customFormat="false" ht="15" hidden="false" customHeight="true" outlineLevel="0" collapsed="false">
      <c r="A23" s="5" t="s">
        <v>40</v>
      </c>
      <c r="B23" s="39" t="s">
        <v>98</v>
      </c>
      <c r="C23" s="40" t="n">
        <f aca="false">INDEX(Folds_lidos!$F$5:$F$173,MATCH($B23,Folds_lidos!$A$5:$A$173,0))</f>
        <v>1</v>
      </c>
      <c r="D23" s="40" t="n">
        <f aca="false">INDEX(Folds_lidos!$G$5:$G$173,MATCH($B23,Folds_lidos!$A$5:$A$173,0))</f>
        <v>2</v>
      </c>
      <c r="E23" s="9" t="n">
        <f aca="false">C23+D23</f>
        <v>3</v>
      </c>
      <c r="F23" s="41" t="n">
        <f aca="false">INDEX(Maos_por_spot!$J$5:$J$173,MATCH($B23,Maos_por_spot!$A$5:$A$173,0))</f>
        <v>0.7</v>
      </c>
      <c r="G23" s="41" t="n">
        <f aca="false">INDEX(Maos_por_spot!$K$5:$K$173,MATCH($B23,Maos_por_spot!$A$5:$A$173,0))</f>
        <v>0.3</v>
      </c>
      <c r="H23" s="41" t="n">
        <f aca="false">INDEX(Maos_por_spot!$L$5:$L$173,MATCH($B23,Maos_por_spot!$A$5:$A$173,0))</f>
        <v>1</v>
      </c>
      <c r="I23" s="9" t="str">
        <f aca="false">IF(H23&lt;0.2,"Fold",IF(AND(F23&gt;=0.2,G23&gt;=0.2),"3bet/call",IF(F23&gt;=G23,"3bet","Call")))</f>
        <v>3bet/call</v>
      </c>
    </row>
    <row r="24" customFormat="false" ht="15" hidden="false" customHeight="true" outlineLevel="0" collapsed="false">
      <c r="A24" s="5" t="s">
        <v>40</v>
      </c>
      <c r="B24" s="39" t="s">
        <v>108</v>
      </c>
      <c r="C24" s="40" t="n">
        <f aca="false">INDEX(Folds_lidos!$F$5:$F$173,MATCH($B24,Folds_lidos!$A$5:$A$173,0))</f>
        <v>2</v>
      </c>
      <c r="D24" s="40" t="n">
        <f aca="false">INDEX(Folds_lidos!$G$5:$G$173,MATCH($B24,Folds_lidos!$A$5:$A$173,0))</f>
        <v>1</v>
      </c>
      <c r="E24" s="9" t="n">
        <f aca="false">C24+D24</f>
        <v>3</v>
      </c>
      <c r="F24" s="41" t="n">
        <f aca="false">INDEX(Maos_por_spot!$J$5:$J$173,MATCH($B24,Maos_por_spot!$A$5:$A$173,0))</f>
        <v>0.4</v>
      </c>
      <c r="G24" s="41" t="n">
        <f aca="false">INDEX(Maos_por_spot!$K$5:$K$173,MATCH($B24,Maos_por_spot!$A$5:$A$173,0))</f>
        <v>0</v>
      </c>
      <c r="H24" s="41" t="n">
        <f aca="false">INDEX(Maos_por_spot!$L$5:$L$173,MATCH($B24,Maos_por_spot!$A$5:$A$173,0))</f>
        <v>0.4</v>
      </c>
      <c r="I24" s="9" t="str">
        <f aca="false">IF(H24&lt;0.2,"Fold",IF(AND(F24&gt;=0.2,G24&gt;=0.2),"3bet/call",IF(F24&gt;=G24,"3bet","Call")))</f>
        <v>3bet</v>
      </c>
    </row>
    <row r="25" customFormat="false" ht="15" hidden="false" customHeight="true" outlineLevel="0" collapsed="false">
      <c r="A25" s="5" t="s">
        <v>40</v>
      </c>
      <c r="B25" s="39" t="s">
        <v>140</v>
      </c>
      <c r="C25" s="40" t="n">
        <f aca="false">INDEX(Folds_lidos!$F$5:$F$173,MATCH($B25,Folds_lidos!$A$5:$A$173,0))</f>
        <v>1</v>
      </c>
      <c r="D25" s="40" t="n">
        <f aca="false">INDEX(Folds_lidos!$G$5:$G$173,MATCH($B25,Folds_lidos!$A$5:$A$173,0))</f>
        <v>2</v>
      </c>
      <c r="E25" s="9" t="n">
        <f aca="false">C25+D25</f>
        <v>3</v>
      </c>
      <c r="F25" s="41" t="n">
        <f aca="false">INDEX(Maos_por_spot!$J$5:$J$173,MATCH($B25,Maos_por_spot!$A$5:$A$173,0))</f>
        <v>0.25</v>
      </c>
      <c r="G25" s="41" t="n">
        <f aca="false">INDEX(Maos_por_spot!$K$5:$K$173,MATCH($B25,Maos_por_spot!$A$5:$A$173,0))</f>
        <v>0.3</v>
      </c>
      <c r="H25" s="41" t="n">
        <f aca="false">INDEX(Maos_por_spot!$L$5:$L$173,MATCH($B25,Maos_por_spot!$A$5:$A$173,0))</f>
        <v>0.55</v>
      </c>
      <c r="I25" s="9" t="str">
        <f aca="false">IF(H25&lt;0.2,"Fold",IF(AND(F25&gt;=0.2,G25&gt;=0.2),"3bet/call",IF(F25&gt;=G25,"3bet","Call")))</f>
        <v>3bet/call</v>
      </c>
    </row>
    <row r="26" customFormat="false" ht="15" hidden="false" customHeight="true" outlineLevel="0" collapsed="false">
      <c r="A26" s="5" t="s">
        <v>40</v>
      </c>
      <c r="B26" s="39" t="s">
        <v>240</v>
      </c>
      <c r="C26" s="40" t="n">
        <f aca="false">INDEX(Folds_lidos!$F$5:$F$173,MATCH($B26,Folds_lidos!$A$5:$A$173,0))</f>
        <v>0</v>
      </c>
      <c r="D26" s="40" t="n">
        <f aca="false">INDEX(Folds_lidos!$G$5:$G$173,MATCH($B26,Folds_lidos!$A$5:$A$173,0))</f>
        <v>3</v>
      </c>
      <c r="E26" s="9" t="n">
        <f aca="false">C26+D26</f>
        <v>3</v>
      </c>
      <c r="F26" s="41" t="n">
        <f aca="false">INDEX(Maos_por_spot!$J$5:$J$173,MATCH($B26,Maos_por_spot!$A$5:$A$173,0))</f>
        <v>0</v>
      </c>
      <c r="G26" s="41" t="n">
        <f aca="false">INDEX(Maos_por_spot!$K$5:$K$173,MATCH($B26,Maos_por_spot!$A$5:$A$173,0))</f>
        <v>1</v>
      </c>
      <c r="H26" s="41" t="n">
        <f aca="false">INDEX(Maos_por_spot!$L$5:$L$173,MATCH($B26,Maos_por_spot!$A$5:$A$173,0))</f>
        <v>1</v>
      </c>
      <c r="I26" s="9" t="str">
        <f aca="false">IF(H26&lt;0.2,"Fold",IF(AND(F26&gt;=0.2,G26&gt;=0.2),"3bet/call",IF(F26&gt;=G26,"3bet","Call")))</f>
        <v>Call</v>
      </c>
    </row>
    <row r="27" customFormat="false" ht="15" hidden="false" customHeight="true" outlineLevel="0" collapsed="false">
      <c r="A27" s="5" t="s">
        <v>41</v>
      </c>
      <c r="B27" s="39" t="s">
        <v>177</v>
      </c>
      <c r="C27" s="40" t="n">
        <f aca="false">INDEX(Folds_lidos!$H$5:$H$173,MATCH($B27,Folds_lidos!$A$5:$A$173,0))</f>
        <v>7</v>
      </c>
      <c r="D27" s="40" t="n">
        <f aca="false">INDEX(Folds_lidos!$I$5:$I$173,MATCH($B27,Folds_lidos!$A$5:$A$173,0))</f>
        <v>6</v>
      </c>
      <c r="E27" s="9" t="n">
        <f aca="false">C27+D27</f>
        <v>13</v>
      </c>
      <c r="F27" s="41" t="n">
        <f aca="false">INDEX(Maos_por_spot!$N$5:$N$173,MATCH($B27,Maos_por_spot!$A$5:$A$173,0))</f>
        <v>0.6</v>
      </c>
      <c r="G27" s="41" t="n">
        <f aca="false">INDEX(Maos_por_spot!$O$5:$O$173,MATCH($B27,Maos_por_spot!$A$5:$A$173,0))</f>
        <v>0</v>
      </c>
      <c r="H27" s="41" t="n">
        <f aca="false">INDEX(Maos_por_spot!$P$5:$P$173,MATCH($B27,Maos_por_spot!$A$5:$A$173,0))</f>
        <v>0.6</v>
      </c>
      <c r="I27" s="9" t="str">
        <f aca="false">IF(H27&lt;0.2,"Fold",IF(AND(F27&gt;=0.2,G27&gt;=0.2),"3bet/call",IF(F27&gt;=G27,"3bet","Call")))</f>
        <v>3bet</v>
      </c>
    </row>
    <row r="28" customFormat="false" ht="15" hidden="false" customHeight="true" outlineLevel="0" collapsed="false">
      <c r="A28" s="5" t="s">
        <v>41</v>
      </c>
      <c r="B28" s="39" t="s">
        <v>139</v>
      </c>
      <c r="C28" s="40" t="n">
        <f aca="false">INDEX(Folds_lidos!$H$5:$H$173,MATCH($B28,Folds_lidos!$A$5:$A$173,0))</f>
        <v>5</v>
      </c>
      <c r="D28" s="40" t="n">
        <f aca="false">INDEX(Folds_lidos!$I$5:$I$173,MATCH($B28,Folds_lidos!$A$5:$A$173,0))</f>
        <v>7</v>
      </c>
      <c r="E28" s="9" t="n">
        <f aca="false">C28+D28</f>
        <v>12</v>
      </c>
      <c r="F28" s="41" t="n">
        <f aca="false">INDEX(Maos_por_spot!$N$5:$N$173,MATCH($B28,Maos_por_spot!$A$5:$A$173,0))</f>
        <v>0.55</v>
      </c>
      <c r="G28" s="41" t="n">
        <f aca="false">INDEX(Maos_por_spot!$O$5:$O$173,MATCH($B28,Maos_por_spot!$A$5:$A$173,0))</f>
        <v>0.45</v>
      </c>
      <c r="H28" s="41" t="n">
        <f aca="false">INDEX(Maos_por_spot!$P$5:$P$173,MATCH($B28,Maos_por_spot!$A$5:$A$173,0))</f>
        <v>1</v>
      </c>
      <c r="I28" s="9" t="str">
        <f aca="false">IF(H28&lt;0.2,"Fold",IF(AND(F28&gt;=0.2,G28&gt;=0.2),"3bet/call",IF(F28&gt;=G28,"3bet","Call")))</f>
        <v>3bet/call</v>
      </c>
    </row>
    <row r="29" customFormat="false" ht="15" hidden="false" customHeight="true" outlineLevel="0" collapsed="false">
      <c r="A29" s="5" t="s">
        <v>41</v>
      </c>
      <c r="B29" s="39" t="s">
        <v>151</v>
      </c>
      <c r="C29" s="40" t="n">
        <f aca="false">INDEX(Folds_lidos!$H$5:$H$173,MATCH($B29,Folds_lidos!$A$5:$A$173,0))</f>
        <v>5</v>
      </c>
      <c r="D29" s="40" t="n">
        <f aca="false">INDEX(Folds_lidos!$I$5:$I$173,MATCH($B29,Folds_lidos!$A$5:$A$173,0))</f>
        <v>4</v>
      </c>
      <c r="E29" s="9" t="n">
        <f aca="false">C29+D29</f>
        <v>9</v>
      </c>
      <c r="F29" s="41" t="n">
        <f aca="false">INDEX(Maos_por_spot!$N$5:$N$173,MATCH($B29,Maos_por_spot!$A$5:$A$173,0))</f>
        <v>1</v>
      </c>
      <c r="G29" s="41" t="n">
        <f aca="false">INDEX(Maos_por_spot!$O$5:$O$173,MATCH($B29,Maos_por_spot!$A$5:$A$173,0))</f>
        <v>0</v>
      </c>
      <c r="H29" s="41" t="n">
        <f aca="false">INDEX(Maos_por_spot!$P$5:$P$173,MATCH($B29,Maos_por_spot!$A$5:$A$173,0))</f>
        <v>1</v>
      </c>
      <c r="I29" s="9" t="str">
        <f aca="false">IF(H29&lt;0.2,"Fold",IF(AND(F29&gt;=0.2,G29&gt;=0.2),"3bet/call",IF(F29&gt;=G29,"3bet","Call")))</f>
        <v>3bet</v>
      </c>
    </row>
    <row r="30" customFormat="false" ht="15" hidden="false" customHeight="true" outlineLevel="0" collapsed="false">
      <c r="A30" s="5" t="s">
        <v>41</v>
      </c>
      <c r="B30" s="39" t="s">
        <v>213</v>
      </c>
      <c r="C30" s="40" t="n">
        <f aca="false">INDEX(Folds_lidos!$H$5:$H$173,MATCH($B30,Folds_lidos!$A$5:$A$173,0))</f>
        <v>4</v>
      </c>
      <c r="D30" s="40" t="n">
        <f aca="false">INDEX(Folds_lidos!$I$5:$I$173,MATCH($B30,Folds_lidos!$A$5:$A$173,0))</f>
        <v>5</v>
      </c>
      <c r="E30" s="9" t="n">
        <f aca="false">C30+D30</f>
        <v>9</v>
      </c>
      <c r="F30" s="41" t="n">
        <f aca="false">INDEX(Maos_por_spot!$N$5:$N$173,MATCH($B30,Maos_por_spot!$A$5:$A$173,0))</f>
        <v>0</v>
      </c>
      <c r="G30" s="41" t="n">
        <f aca="false">INDEX(Maos_por_spot!$O$5:$O$173,MATCH($B30,Maos_por_spot!$A$5:$A$173,0))</f>
        <v>0.45</v>
      </c>
      <c r="H30" s="41" t="n">
        <f aca="false">INDEX(Maos_por_spot!$P$5:$P$173,MATCH($B30,Maos_por_spot!$A$5:$A$173,0))</f>
        <v>0.45</v>
      </c>
      <c r="I30" s="9" t="str">
        <f aca="false">IF(H30&lt;0.2,"Fold",IF(AND(F30&gt;=0.2,G30&gt;=0.2),"3bet/call",IF(F30&gt;=G30,"3bet","Call")))</f>
        <v>Call</v>
      </c>
    </row>
    <row r="31" customFormat="false" ht="15" hidden="false" customHeight="true" outlineLevel="0" collapsed="false">
      <c r="A31" s="5" t="s">
        <v>41</v>
      </c>
      <c r="B31" s="39" t="s">
        <v>141</v>
      </c>
      <c r="C31" s="40" t="n">
        <f aca="false">INDEX(Folds_lidos!$H$5:$H$173,MATCH($B31,Folds_lidos!$A$5:$A$173,0))</f>
        <v>4</v>
      </c>
      <c r="D31" s="40" t="n">
        <f aca="false">INDEX(Folds_lidos!$I$5:$I$173,MATCH($B31,Folds_lidos!$A$5:$A$173,0))</f>
        <v>4</v>
      </c>
      <c r="E31" s="9" t="n">
        <f aca="false">C31+D31</f>
        <v>8</v>
      </c>
      <c r="F31" s="41" t="n">
        <f aca="false">INDEX(Maos_por_spot!$N$5:$N$173,MATCH($B31,Maos_por_spot!$A$5:$A$173,0))</f>
        <v>0.35</v>
      </c>
      <c r="G31" s="41" t="n">
        <f aca="false">INDEX(Maos_por_spot!$O$5:$O$173,MATCH($B31,Maos_por_spot!$A$5:$A$173,0))</f>
        <v>0.65</v>
      </c>
      <c r="H31" s="41" t="n">
        <f aca="false">INDEX(Maos_por_spot!$P$5:$P$173,MATCH($B31,Maos_por_spot!$A$5:$A$173,0))</f>
        <v>1</v>
      </c>
      <c r="I31" s="9" t="str">
        <f aca="false">IF(H31&lt;0.2,"Fold",IF(AND(F31&gt;=0.2,G31&gt;=0.2),"3bet/call",IF(F31&gt;=G31,"3bet","Call")))</f>
        <v>3bet/call</v>
      </c>
    </row>
    <row r="32" customFormat="false" ht="15" hidden="false" customHeight="true" outlineLevel="0" collapsed="false">
      <c r="A32" s="5" t="s">
        <v>41</v>
      </c>
      <c r="B32" s="39" t="s">
        <v>140</v>
      </c>
      <c r="C32" s="40" t="n">
        <f aca="false">INDEX(Folds_lidos!$H$5:$H$173,MATCH($B32,Folds_lidos!$A$5:$A$173,0))</f>
        <v>3</v>
      </c>
      <c r="D32" s="40" t="n">
        <f aca="false">INDEX(Folds_lidos!$I$5:$I$173,MATCH($B32,Folds_lidos!$A$5:$A$173,0))</f>
        <v>4</v>
      </c>
      <c r="E32" s="9" t="n">
        <f aca="false">C32+D32</f>
        <v>7</v>
      </c>
      <c r="F32" s="41" t="n">
        <f aca="false">INDEX(Maos_por_spot!$N$5:$N$173,MATCH($B32,Maos_por_spot!$A$5:$A$173,0))</f>
        <v>0.35</v>
      </c>
      <c r="G32" s="41" t="n">
        <f aca="false">INDEX(Maos_por_spot!$O$5:$O$173,MATCH($B32,Maos_por_spot!$A$5:$A$173,0))</f>
        <v>0.65</v>
      </c>
      <c r="H32" s="41" t="n">
        <f aca="false">INDEX(Maos_por_spot!$P$5:$P$173,MATCH($B32,Maos_por_spot!$A$5:$A$173,0))</f>
        <v>1</v>
      </c>
      <c r="I32" s="9" t="str">
        <f aca="false">IF(H32&lt;0.2,"Fold",IF(AND(F32&gt;=0.2,G32&gt;=0.2),"3bet/call",IF(F32&gt;=G32,"3bet","Call")))</f>
        <v>3bet/call</v>
      </c>
    </row>
    <row r="33" customFormat="false" ht="15" hidden="false" customHeight="true" outlineLevel="0" collapsed="false">
      <c r="A33" s="5" t="s">
        <v>41</v>
      </c>
      <c r="B33" s="39" t="s">
        <v>119</v>
      </c>
      <c r="C33" s="40" t="n">
        <f aca="false">INDEX(Folds_lidos!$H$5:$H$173,MATCH($B33,Folds_lidos!$A$5:$A$173,0))</f>
        <v>1</v>
      </c>
      <c r="D33" s="40" t="n">
        <f aca="false">INDEX(Folds_lidos!$I$5:$I$173,MATCH($B33,Folds_lidos!$A$5:$A$173,0))</f>
        <v>5</v>
      </c>
      <c r="E33" s="9" t="n">
        <f aca="false">C33+D33</f>
        <v>6</v>
      </c>
      <c r="F33" s="41" t="n">
        <f aca="false">INDEX(Maos_por_spot!$N$5:$N$173,MATCH($B33,Maos_por_spot!$A$5:$A$173,0))</f>
        <v>0.75</v>
      </c>
      <c r="G33" s="41" t="n">
        <f aca="false">INDEX(Maos_por_spot!$O$5:$O$173,MATCH($B33,Maos_por_spot!$A$5:$A$173,0))</f>
        <v>0.25</v>
      </c>
      <c r="H33" s="41" t="n">
        <f aca="false">INDEX(Maos_por_spot!$P$5:$P$173,MATCH($B33,Maos_por_spot!$A$5:$A$173,0))</f>
        <v>1</v>
      </c>
      <c r="I33" s="9" t="str">
        <f aca="false">IF(H33&lt;0.2,"Fold",IF(AND(F33&gt;=0.2,G33&gt;=0.2),"3bet/call",IF(F33&gt;=G33,"3bet","Call")))</f>
        <v>3bet/call</v>
      </c>
    </row>
    <row r="34" customFormat="false" ht="15" hidden="false" customHeight="true" outlineLevel="0" collapsed="false">
      <c r="A34" s="5" t="s">
        <v>41</v>
      </c>
      <c r="B34" s="39" t="s">
        <v>164</v>
      </c>
      <c r="C34" s="40" t="n">
        <f aca="false">INDEX(Folds_lidos!$H$5:$H$173,MATCH($B34,Folds_lidos!$A$5:$A$173,0))</f>
        <v>1</v>
      </c>
      <c r="D34" s="40" t="n">
        <f aca="false">INDEX(Folds_lidos!$I$5:$I$173,MATCH($B34,Folds_lidos!$A$5:$A$173,0))</f>
        <v>5</v>
      </c>
      <c r="E34" s="9" t="n">
        <f aca="false">C34+D34</f>
        <v>6</v>
      </c>
      <c r="F34" s="41" t="n">
        <f aca="false">INDEX(Maos_por_spot!$N$5:$N$173,MATCH($B34,Maos_por_spot!$A$5:$A$173,0))</f>
        <v>0.7</v>
      </c>
      <c r="G34" s="41" t="n">
        <f aca="false">INDEX(Maos_por_spot!$O$5:$O$173,MATCH($B34,Maos_por_spot!$A$5:$A$173,0))</f>
        <v>0.3</v>
      </c>
      <c r="H34" s="41" t="n">
        <f aca="false">INDEX(Maos_por_spot!$P$5:$P$173,MATCH($B34,Maos_por_spot!$A$5:$A$173,0))</f>
        <v>1</v>
      </c>
      <c r="I34" s="9" t="str">
        <f aca="false">IF(H34&lt;0.2,"Fold",IF(AND(F34&gt;=0.2,G34&gt;=0.2),"3bet/call",IF(F34&gt;=G34,"3bet","Call")))</f>
        <v>3bet/call</v>
      </c>
    </row>
    <row r="35" customFormat="false" ht="15" hidden="false" customHeight="true" outlineLevel="0" collapsed="false">
      <c r="A35" s="5" t="s">
        <v>41</v>
      </c>
      <c r="B35" s="39" t="s">
        <v>108</v>
      </c>
      <c r="C35" s="40" t="n">
        <f aca="false">INDEX(Folds_lidos!$H$5:$H$173,MATCH($B35,Folds_lidos!$A$5:$A$173,0))</f>
        <v>1</v>
      </c>
      <c r="D35" s="40" t="n">
        <f aca="false">INDEX(Folds_lidos!$I$5:$I$173,MATCH($B35,Folds_lidos!$A$5:$A$173,0))</f>
        <v>4</v>
      </c>
      <c r="E35" s="9" t="n">
        <f aca="false">C35+D35</f>
        <v>5</v>
      </c>
      <c r="F35" s="41" t="n">
        <f aca="false">INDEX(Maos_por_spot!$N$5:$N$173,MATCH($B35,Maos_por_spot!$A$5:$A$173,0))</f>
        <v>0.25</v>
      </c>
      <c r="G35" s="41" t="n">
        <f aca="false">INDEX(Maos_por_spot!$O$5:$O$173,MATCH($B35,Maos_por_spot!$A$5:$A$173,0))</f>
        <v>0.75</v>
      </c>
      <c r="H35" s="41" t="n">
        <f aca="false">INDEX(Maos_por_spot!$P$5:$P$173,MATCH($B35,Maos_por_spot!$A$5:$A$173,0))</f>
        <v>1</v>
      </c>
      <c r="I35" s="9" t="str">
        <f aca="false">IF(H35&lt;0.2,"Fold",IF(AND(F35&gt;=0.2,G35&gt;=0.2),"3bet/call",IF(F35&gt;=G35,"3bet","Call")))</f>
        <v>3bet/call</v>
      </c>
    </row>
    <row r="36" customFormat="false" ht="15" hidden="false" customHeight="true" outlineLevel="0" collapsed="false">
      <c r="A36" s="5" t="s">
        <v>41</v>
      </c>
      <c r="B36" s="39" t="s">
        <v>109</v>
      </c>
      <c r="C36" s="40" t="n">
        <f aca="false">INDEX(Folds_lidos!$H$5:$H$173,MATCH($B36,Folds_lidos!$A$5:$A$173,0))</f>
        <v>4</v>
      </c>
      <c r="D36" s="40" t="n">
        <f aca="false">INDEX(Folds_lidos!$I$5:$I$173,MATCH($B36,Folds_lidos!$A$5:$A$173,0))</f>
        <v>1</v>
      </c>
      <c r="E36" s="9" t="n">
        <f aca="false">C36+D36</f>
        <v>5</v>
      </c>
      <c r="F36" s="41" t="n">
        <f aca="false">INDEX(Maos_por_spot!$N$5:$N$173,MATCH($B36,Maos_por_spot!$A$5:$A$173,0))</f>
        <v>0.2</v>
      </c>
      <c r="G36" s="41" t="n">
        <f aca="false">INDEX(Maos_por_spot!$O$5:$O$173,MATCH($B36,Maos_por_spot!$A$5:$A$173,0))</f>
        <v>0.8</v>
      </c>
      <c r="H36" s="41" t="n">
        <f aca="false">INDEX(Maos_por_spot!$P$5:$P$173,MATCH($B36,Maos_por_spot!$A$5:$A$173,0))</f>
        <v>1</v>
      </c>
      <c r="I36" s="9" t="str">
        <f aca="false">IF(H36&lt;0.2,"Fold",IF(AND(F36&gt;=0.2,G36&gt;=0.2),"3bet/call",IF(F36&gt;=G36,"3bet","Call")))</f>
        <v>3bet/call</v>
      </c>
    </row>
    <row r="37" customFormat="false" ht="15" hidden="false" customHeight="true" outlineLevel="0" collapsed="false">
      <c r="A37" s="5" t="s">
        <v>41</v>
      </c>
      <c r="B37" s="39" t="s">
        <v>171</v>
      </c>
      <c r="C37" s="40" t="n">
        <f aca="false">INDEX(Folds_lidos!$H$5:$H$173,MATCH($B37,Folds_lidos!$A$5:$A$173,0))</f>
        <v>4</v>
      </c>
      <c r="D37" s="40" t="n">
        <f aca="false">INDEX(Folds_lidos!$I$5:$I$173,MATCH($B37,Folds_lidos!$A$5:$A$173,0))</f>
        <v>1</v>
      </c>
      <c r="E37" s="9" t="n">
        <f aca="false">C37+D37</f>
        <v>5</v>
      </c>
      <c r="F37" s="41" t="n">
        <f aca="false">INDEX(Maos_por_spot!$N$5:$N$173,MATCH($B37,Maos_por_spot!$A$5:$A$173,0))</f>
        <v>0.15</v>
      </c>
      <c r="G37" s="41" t="n">
        <f aca="false">INDEX(Maos_por_spot!$O$5:$O$173,MATCH($B37,Maos_por_spot!$A$5:$A$173,0))</f>
        <v>0.85</v>
      </c>
      <c r="H37" s="41" t="n">
        <f aca="false">INDEX(Maos_por_spot!$P$5:$P$173,MATCH($B37,Maos_por_spot!$A$5:$A$173,0))</f>
        <v>1</v>
      </c>
      <c r="I37" s="9" t="str">
        <f aca="false">IF(H37&lt;0.2,"Fold",IF(AND(F37&gt;=0.2,G37&gt;=0.2),"3bet/call",IF(F37&gt;=G37,"3bet","Call")))</f>
        <v>Call</v>
      </c>
    </row>
    <row r="38" customFormat="false" ht="15" hidden="false" customHeight="true" outlineLevel="0" collapsed="false">
      <c r="A38" s="5" t="s">
        <v>41</v>
      </c>
      <c r="B38" s="39" t="s">
        <v>240</v>
      </c>
      <c r="C38" s="40" t="n">
        <f aca="false">INDEX(Folds_lidos!$H$5:$H$173,MATCH($B38,Folds_lidos!$A$5:$A$173,0))</f>
        <v>1</v>
      </c>
      <c r="D38" s="40" t="n">
        <f aca="false">INDEX(Folds_lidos!$I$5:$I$173,MATCH($B38,Folds_lidos!$A$5:$A$173,0))</f>
        <v>4</v>
      </c>
      <c r="E38" s="9" t="n">
        <f aca="false">C38+D38</f>
        <v>5</v>
      </c>
      <c r="F38" s="41" t="n">
        <f aca="false">INDEX(Maos_por_spot!$N$5:$N$173,MATCH($B38,Maos_por_spot!$A$5:$A$173,0))</f>
        <v>0</v>
      </c>
      <c r="G38" s="41" t="n">
        <f aca="false">INDEX(Maos_por_spot!$O$5:$O$173,MATCH($B38,Maos_por_spot!$A$5:$A$173,0))</f>
        <v>1</v>
      </c>
      <c r="H38" s="41" t="n">
        <f aca="false">INDEX(Maos_por_spot!$P$5:$P$173,MATCH($B38,Maos_por_spot!$A$5:$A$173,0))</f>
        <v>1</v>
      </c>
      <c r="I38" s="9" t="str">
        <f aca="false">IF(H38&lt;0.2,"Fold",IF(AND(F38&gt;=0.2,G38&gt;=0.2),"3bet/call",IF(F38&gt;=G38,"3bet","Call")))</f>
        <v>Call</v>
      </c>
    </row>
    <row r="39" customFormat="false" ht="15" hidden="false" customHeight="true" outlineLevel="0" collapsed="false">
      <c r="A39" s="5" t="s">
        <v>41</v>
      </c>
      <c r="B39" s="39" t="s">
        <v>144</v>
      </c>
      <c r="C39" s="40" t="n">
        <f aca="false">INDEX(Folds_lidos!$H$5:$H$173,MATCH($B39,Folds_lidos!$A$5:$A$173,0))</f>
        <v>1</v>
      </c>
      <c r="D39" s="40" t="n">
        <f aca="false">INDEX(Folds_lidos!$I$5:$I$173,MATCH($B39,Folds_lidos!$A$5:$A$173,0))</f>
        <v>3</v>
      </c>
      <c r="E39" s="9" t="n">
        <f aca="false">C39+D39</f>
        <v>4</v>
      </c>
      <c r="F39" s="41" t="n">
        <f aca="false">INDEX(Maos_por_spot!$N$5:$N$173,MATCH($B39,Maos_por_spot!$A$5:$A$173,0))</f>
        <v>0</v>
      </c>
      <c r="G39" s="41" t="n">
        <f aca="false">INDEX(Maos_por_spot!$O$5:$O$173,MATCH($B39,Maos_por_spot!$A$5:$A$173,0))</f>
        <v>1</v>
      </c>
      <c r="H39" s="41" t="n">
        <f aca="false">INDEX(Maos_por_spot!$P$5:$P$173,MATCH($B39,Maos_por_spot!$A$5:$A$173,0))</f>
        <v>1</v>
      </c>
      <c r="I39" s="9" t="str">
        <f aca="false">IF(H39&lt;0.2,"Fold",IF(AND(F39&gt;=0.2,G39&gt;=0.2),"3bet/call",IF(F39&gt;=G39,"3bet","Call")))</f>
        <v>Call</v>
      </c>
    </row>
    <row r="40" customFormat="false" ht="15" hidden="false" customHeight="true" outlineLevel="0" collapsed="false">
      <c r="A40" s="5" t="s">
        <v>41</v>
      </c>
      <c r="B40" s="39" t="s">
        <v>158</v>
      </c>
      <c r="C40" s="40" t="n">
        <f aca="false">INDEX(Folds_lidos!$H$5:$H$173,MATCH($B40,Folds_lidos!$A$5:$A$173,0))</f>
        <v>1</v>
      </c>
      <c r="D40" s="40" t="n">
        <f aca="false">INDEX(Folds_lidos!$I$5:$I$173,MATCH($B40,Folds_lidos!$A$5:$A$173,0))</f>
        <v>3</v>
      </c>
      <c r="E40" s="9" t="n">
        <f aca="false">C40+D40</f>
        <v>4</v>
      </c>
      <c r="F40" s="41" t="n">
        <f aca="false">INDEX(Maos_por_spot!$N$5:$N$173,MATCH($B40,Maos_por_spot!$A$5:$A$173,0))</f>
        <v>0.4</v>
      </c>
      <c r="G40" s="41" t="n">
        <f aca="false">INDEX(Maos_por_spot!$O$5:$O$173,MATCH($B40,Maos_por_spot!$A$5:$A$173,0))</f>
        <v>0.4</v>
      </c>
      <c r="H40" s="41" t="n">
        <f aca="false">INDEX(Maos_por_spot!$P$5:$P$173,MATCH($B40,Maos_por_spot!$A$5:$A$173,0))</f>
        <v>0.8</v>
      </c>
      <c r="I40" s="9" t="str">
        <f aca="false">IF(H40&lt;0.2,"Fold",IF(AND(F40&gt;=0.2,G40&gt;=0.2),"3bet/call",IF(F40&gt;=G40,"3bet","Call")))</f>
        <v>3bet/call</v>
      </c>
    </row>
    <row r="41" customFormat="false" ht="15" hidden="false" customHeight="true" outlineLevel="0" collapsed="false">
      <c r="A41" s="5" t="s">
        <v>41</v>
      </c>
      <c r="B41" s="39" t="s">
        <v>185</v>
      </c>
      <c r="C41" s="40" t="n">
        <f aca="false">INDEX(Folds_lidos!$H$5:$H$173,MATCH($B41,Folds_lidos!$A$5:$A$173,0))</f>
        <v>4</v>
      </c>
      <c r="D41" s="40" t="n">
        <f aca="false">INDEX(Folds_lidos!$I$5:$I$173,MATCH($B41,Folds_lidos!$A$5:$A$173,0))</f>
        <v>0</v>
      </c>
      <c r="E41" s="9" t="n">
        <f aca="false">C41+D41</f>
        <v>4</v>
      </c>
      <c r="F41" s="41" t="n">
        <f aca="false">INDEX(Maos_por_spot!$N$5:$N$173,MATCH($B41,Maos_por_spot!$A$5:$A$173,0))</f>
        <v>0</v>
      </c>
      <c r="G41" s="41" t="n">
        <f aca="false">INDEX(Maos_por_spot!$O$5:$O$173,MATCH($B41,Maos_por_spot!$A$5:$A$173,0))</f>
        <v>1</v>
      </c>
      <c r="H41" s="41" t="n">
        <f aca="false">INDEX(Maos_por_spot!$P$5:$P$173,MATCH($B41,Maos_por_spot!$A$5:$A$173,0))</f>
        <v>1</v>
      </c>
      <c r="I41" s="9" t="str">
        <f aca="false">IF(H41&lt;0.2,"Fold",IF(AND(F41&gt;=0.2,G41&gt;=0.2),"3bet/call",IF(F41&gt;=G41,"3bet","Call")))</f>
        <v>Call</v>
      </c>
    </row>
    <row r="42" customFormat="false" ht="15" hidden="false" customHeight="true" outlineLevel="0" collapsed="false">
      <c r="A42" s="5" t="s">
        <v>41</v>
      </c>
      <c r="B42" s="39" t="s">
        <v>107</v>
      </c>
      <c r="C42" s="40" t="n">
        <f aca="false">INDEX(Folds_lidos!$H$5:$H$173,MATCH($B42,Folds_lidos!$A$5:$A$173,0))</f>
        <v>1</v>
      </c>
      <c r="D42" s="40" t="n">
        <f aca="false">INDEX(Folds_lidos!$I$5:$I$173,MATCH($B42,Folds_lidos!$A$5:$A$173,0))</f>
        <v>2</v>
      </c>
      <c r="E42" s="9" t="n">
        <f aca="false">C42+D42</f>
        <v>3</v>
      </c>
      <c r="F42" s="41" t="n">
        <f aca="false">INDEX(Maos_por_spot!$N$5:$N$173,MATCH($B42,Maos_por_spot!$A$5:$A$173,0))</f>
        <v>0.85</v>
      </c>
      <c r="G42" s="41" t="n">
        <f aca="false">INDEX(Maos_por_spot!$O$5:$O$173,MATCH($B42,Maos_por_spot!$A$5:$A$173,0))</f>
        <v>0.15</v>
      </c>
      <c r="H42" s="41" t="n">
        <f aca="false">INDEX(Maos_por_spot!$P$5:$P$173,MATCH($B42,Maos_por_spot!$A$5:$A$173,0))</f>
        <v>1</v>
      </c>
      <c r="I42" s="9" t="str">
        <f aca="false">IF(H42&lt;0.2,"Fold",IF(AND(F42&gt;=0.2,G42&gt;=0.2),"3bet/call",IF(F42&gt;=G42,"3bet","Call")))</f>
        <v>3bet</v>
      </c>
    </row>
    <row r="43" customFormat="false" ht="15" hidden="false" customHeight="true" outlineLevel="0" collapsed="false">
      <c r="A43" s="5" t="s">
        <v>41</v>
      </c>
      <c r="B43" s="39" t="s">
        <v>120</v>
      </c>
      <c r="C43" s="40" t="n">
        <f aca="false">INDEX(Folds_lidos!$H$5:$H$173,MATCH($B43,Folds_lidos!$A$5:$A$173,0))</f>
        <v>2</v>
      </c>
      <c r="D43" s="40" t="n">
        <f aca="false">INDEX(Folds_lidos!$I$5:$I$173,MATCH($B43,Folds_lidos!$A$5:$A$173,0))</f>
        <v>1</v>
      </c>
      <c r="E43" s="9" t="n">
        <f aca="false">C43+D43</f>
        <v>3</v>
      </c>
      <c r="F43" s="41" t="n">
        <f aca="false">INDEX(Maos_por_spot!$N$5:$N$173,MATCH($B43,Maos_por_spot!$A$5:$A$173,0))</f>
        <v>0.6</v>
      </c>
      <c r="G43" s="41" t="n">
        <f aca="false">INDEX(Maos_por_spot!$O$5:$O$173,MATCH($B43,Maos_por_spot!$A$5:$A$173,0))</f>
        <v>0.4</v>
      </c>
      <c r="H43" s="41" t="n">
        <f aca="false">INDEX(Maos_por_spot!$P$5:$P$173,MATCH($B43,Maos_por_spot!$A$5:$A$173,0))</f>
        <v>1</v>
      </c>
      <c r="I43" s="9" t="str">
        <f aca="false">IF(H43&lt;0.2,"Fold",IF(AND(F43&gt;=0.2,G43&gt;=0.2),"3bet/call",IF(F43&gt;=G43,"3bet","Call")))</f>
        <v>3bet/call</v>
      </c>
    </row>
    <row r="44" customFormat="false" ht="15" hidden="false" customHeight="true" outlineLevel="0" collapsed="false">
      <c r="A44" s="5" t="s">
        <v>41</v>
      </c>
      <c r="B44" s="39" t="s">
        <v>127</v>
      </c>
      <c r="C44" s="40" t="n">
        <f aca="false">INDEX(Folds_lidos!$H$5:$H$173,MATCH($B44,Folds_lidos!$A$5:$A$173,0))</f>
        <v>1</v>
      </c>
      <c r="D44" s="40" t="n">
        <f aca="false">INDEX(Folds_lidos!$I$5:$I$173,MATCH($B44,Folds_lidos!$A$5:$A$173,0))</f>
        <v>2</v>
      </c>
      <c r="E44" s="9" t="n">
        <f aca="false">C44+D44</f>
        <v>3</v>
      </c>
      <c r="F44" s="41" t="n">
        <f aca="false">INDEX(Maos_por_spot!$N$5:$N$173,MATCH($B44,Maos_por_spot!$A$5:$A$173,0))</f>
        <v>0.6</v>
      </c>
      <c r="G44" s="41" t="n">
        <f aca="false">INDEX(Maos_por_spot!$O$5:$O$173,MATCH($B44,Maos_por_spot!$A$5:$A$173,0))</f>
        <v>0.4</v>
      </c>
      <c r="H44" s="41" t="n">
        <f aca="false">INDEX(Maos_por_spot!$P$5:$P$173,MATCH($B44,Maos_por_spot!$A$5:$A$173,0))</f>
        <v>1</v>
      </c>
      <c r="I44" s="9" t="str">
        <f aca="false">IF(H44&lt;0.2,"Fold",IF(AND(F44&gt;=0.2,G44&gt;=0.2),"3bet/call",IF(F44&gt;=G44,"3bet","Call")))</f>
        <v>3bet/call</v>
      </c>
    </row>
    <row r="45" customFormat="false" ht="15" hidden="false" customHeight="true" outlineLevel="0" collapsed="false">
      <c r="A45" s="5" t="s">
        <v>41</v>
      </c>
      <c r="B45" s="39" t="s">
        <v>138</v>
      </c>
      <c r="C45" s="40" t="n">
        <f aca="false">INDEX(Folds_lidos!$H$5:$H$173,MATCH($B45,Folds_lidos!$A$5:$A$173,0))</f>
        <v>1</v>
      </c>
      <c r="D45" s="40" t="n">
        <f aca="false">INDEX(Folds_lidos!$I$5:$I$173,MATCH($B45,Folds_lidos!$A$5:$A$173,0))</f>
        <v>2</v>
      </c>
      <c r="E45" s="9" t="n">
        <f aca="false">C45+D45</f>
        <v>3</v>
      </c>
      <c r="F45" s="41" t="n">
        <f aca="false">INDEX(Maos_por_spot!$N$5:$N$173,MATCH($B45,Maos_por_spot!$A$5:$A$173,0))</f>
        <v>0.2</v>
      </c>
      <c r="G45" s="41" t="n">
        <f aca="false">INDEX(Maos_por_spot!$O$5:$O$173,MATCH($B45,Maos_por_spot!$A$5:$A$173,0))</f>
        <v>0.8</v>
      </c>
      <c r="H45" s="41" t="n">
        <f aca="false">INDEX(Maos_por_spot!$P$5:$P$173,MATCH($B45,Maos_por_spot!$A$5:$A$173,0))</f>
        <v>1</v>
      </c>
      <c r="I45" s="9" t="str">
        <f aca="false">IF(H45&lt;0.2,"Fold",IF(AND(F45&gt;=0.2,G45&gt;=0.2),"3bet/call",IF(F45&gt;=G45,"3bet","Call")))</f>
        <v>3bet/call</v>
      </c>
    </row>
    <row r="46" customFormat="false" ht="15" hidden="false" customHeight="true" outlineLevel="0" collapsed="false">
      <c r="A46" s="5" t="s">
        <v>41</v>
      </c>
      <c r="B46" s="39" t="s">
        <v>199</v>
      </c>
      <c r="C46" s="40" t="n">
        <f aca="false">INDEX(Folds_lidos!$H$5:$H$173,MATCH($B46,Folds_lidos!$A$5:$A$173,0))</f>
        <v>1</v>
      </c>
      <c r="D46" s="40" t="n">
        <f aca="false">INDEX(Folds_lidos!$I$5:$I$173,MATCH($B46,Folds_lidos!$A$5:$A$173,0))</f>
        <v>2</v>
      </c>
      <c r="E46" s="9" t="n">
        <f aca="false">C46+D46</f>
        <v>3</v>
      </c>
      <c r="F46" s="41" t="n">
        <f aca="false">INDEX(Maos_por_spot!$N$5:$N$173,MATCH($B46,Maos_por_spot!$A$5:$A$173,0))</f>
        <v>0</v>
      </c>
      <c r="G46" s="41" t="n">
        <f aca="false">INDEX(Maos_por_spot!$O$5:$O$173,MATCH($B46,Maos_por_spot!$A$5:$A$173,0))</f>
        <v>0.65</v>
      </c>
      <c r="H46" s="41" t="n">
        <f aca="false">INDEX(Maos_por_spot!$P$5:$P$173,MATCH($B46,Maos_por_spot!$A$5:$A$173,0))</f>
        <v>0.65</v>
      </c>
      <c r="I46" s="9" t="str">
        <f aca="false">IF(H46&lt;0.2,"Fold",IF(AND(F46&gt;=0.2,G46&gt;=0.2),"3bet/call",IF(F46&gt;=G46,"3bet","Call")))</f>
        <v>Call</v>
      </c>
    </row>
    <row r="47" customFormat="false" ht="15" hidden="false" customHeight="true" outlineLevel="0" collapsed="false">
      <c r="A47" s="5" t="s">
        <v>41</v>
      </c>
      <c r="B47" s="39" t="s">
        <v>254</v>
      </c>
      <c r="C47" s="40" t="n">
        <f aca="false">INDEX(Folds_lidos!$H$5:$H$173,MATCH($B47,Folds_lidos!$A$5:$A$173,0))</f>
        <v>0</v>
      </c>
      <c r="D47" s="40" t="n">
        <f aca="false">INDEX(Folds_lidos!$I$5:$I$173,MATCH($B47,Folds_lidos!$A$5:$A$173,0))</f>
        <v>3</v>
      </c>
      <c r="E47" s="9" t="n">
        <f aca="false">C47+D47</f>
        <v>3</v>
      </c>
      <c r="F47" s="41" t="n">
        <f aca="false">INDEX(Maos_por_spot!$N$5:$N$173,MATCH($B47,Maos_por_spot!$A$5:$A$173,0))</f>
        <v>0</v>
      </c>
      <c r="G47" s="41" t="n">
        <f aca="false">INDEX(Maos_por_spot!$O$5:$O$173,MATCH($B47,Maos_por_spot!$A$5:$A$173,0))</f>
        <v>1</v>
      </c>
      <c r="H47" s="41" t="n">
        <f aca="false">INDEX(Maos_por_spot!$P$5:$P$173,MATCH($B47,Maos_por_spot!$A$5:$A$173,0))</f>
        <v>1</v>
      </c>
      <c r="I47" s="9" t="str">
        <f aca="false">IF(H47&lt;0.2,"Fold",IF(AND(F47&gt;=0.2,G47&gt;=0.2),"3bet/call",IF(F47&gt;=G47,"3bet","Call")))</f>
        <v>Call</v>
      </c>
    </row>
  </sheetData>
  <autoFilter ref="A4:I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4" min="3" style="1" width="16"/>
    <col collapsed="false" customWidth="true" hidden="false" outlineLevel="0" max="5" min="5" style="1" width="14"/>
    <col collapsed="false" customWidth="true" hidden="false" outlineLevel="0" max="6" min="6" style="1" width="9"/>
    <col collapsed="false" customWidth="true" hidden="false" outlineLevel="0" max="7" min="7" style="1" width="36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2" t="s">
        <v>308</v>
      </c>
    </row>
    <row r="2" customFormat="false" ht="15" hidden="false" customHeight="true" outlineLevel="0" collapsed="false">
      <c r="A2" s="3" t="s">
        <v>309</v>
      </c>
    </row>
    <row r="3" customFormat="false" ht="15" hidden="false" customHeight="true" outlineLevel="0" collapsed="false">
      <c r="A3" s="3" t="s">
        <v>310</v>
      </c>
    </row>
    <row r="4" customFormat="false" ht="15" hidden="false" customHeight="false" outlineLevel="0" collapsed="false">
      <c r="A4" s="22" t="s">
        <v>311</v>
      </c>
      <c r="D4" s="42" t="n">
        <v>7</v>
      </c>
    </row>
    <row r="5" customFormat="false" ht="30" hidden="false" customHeight="true" outlineLevel="0" collapsed="false">
      <c r="A5" s="4" t="s">
        <v>25</v>
      </c>
      <c r="B5" s="4" t="s">
        <v>77</v>
      </c>
      <c r="C5" s="4" t="s">
        <v>312</v>
      </c>
      <c r="D5" s="4" t="s">
        <v>289</v>
      </c>
      <c r="E5" s="4" t="s">
        <v>313</v>
      </c>
      <c r="F5" s="4" t="s">
        <v>314</v>
      </c>
      <c r="G5" s="4" t="s">
        <v>315</v>
      </c>
      <c r="H5" s="4" t="s">
        <v>316</v>
      </c>
    </row>
    <row r="6" customFormat="false" ht="15" hidden="false" customHeight="true" outlineLevel="0" collapsed="false">
      <c r="A6" s="5" t="s">
        <v>38</v>
      </c>
      <c r="B6" s="9" t="s">
        <v>86</v>
      </c>
      <c r="C6" s="41" t="n">
        <f aca="false">INDEX(Maos_por_spot!$D$5:$D$173,MATCH($B6,Maos_por_spot!$A$5:$A$173,0))</f>
        <v>1</v>
      </c>
      <c r="D6" s="43" t="str">
        <f aca="false">INDEX(Maos_por_spot!$E$5:$E$173,MATCH($B6,Maos_por_spot!$A$5:$A$173,0))</f>
        <v>3bet</v>
      </c>
      <c r="E6" s="40" t="n">
        <f aca="false">INDEX(Folds_total!$B$5:$B$173,MATCH($B6,Folds_total!$A$5:$A$173,0))</f>
        <v>0</v>
      </c>
      <c r="F6" s="44" t="n">
        <f aca="false">IF(E6="","",E6*C6)</f>
        <v>0</v>
      </c>
      <c r="G6" s="9" t="str">
        <f aca="false">IF(E6="","",IF(AND(C6&gt;=0.8,E6&gt;=$D$4),"Revisar: o solver quase sempre defende",""))</f>
        <v/>
      </c>
      <c r="H6" s="45"/>
    </row>
    <row r="7" customFormat="false" ht="15" hidden="false" customHeight="true" outlineLevel="0" collapsed="false">
      <c r="A7" s="5" t="s">
        <v>38</v>
      </c>
      <c r="B7" s="9" t="s">
        <v>87</v>
      </c>
      <c r="C7" s="41" t="n">
        <f aca="false">INDEX(Maos_por_spot!$D$5:$D$173,MATCH($B7,Maos_por_spot!$A$5:$A$173,0))</f>
        <v>1</v>
      </c>
      <c r="D7" s="43" t="str">
        <f aca="false">INDEX(Maos_por_spot!$E$5:$E$173,MATCH($B7,Maos_por_spot!$A$5:$A$173,0))</f>
        <v>3bet</v>
      </c>
      <c r="E7" s="40" t="n">
        <f aca="false">INDEX(Folds_total!$B$5:$B$173,MATCH($B7,Folds_total!$A$5:$A$173,0))</f>
        <v>0</v>
      </c>
      <c r="F7" s="44" t="n">
        <f aca="false">IF(E7="","",E7*C7)</f>
        <v>0</v>
      </c>
      <c r="G7" s="9" t="str">
        <f aca="false">IF(E7="","",IF(AND(C7&gt;=0.8,E7&gt;=$D$4),"Revisar: o solver quase sempre defende",""))</f>
        <v/>
      </c>
      <c r="H7" s="45"/>
    </row>
    <row r="8" customFormat="false" ht="15" hidden="false" customHeight="true" outlineLevel="0" collapsed="false">
      <c r="A8" s="5" t="s">
        <v>38</v>
      </c>
      <c r="B8" s="9" t="s">
        <v>88</v>
      </c>
      <c r="C8" s="41" t="n">
        <f aca="false">INDEX(Maos_por_spot!$D$5:$D$173,MATCH($B8,Maos_por_spot!$A$5:$A$173,0))</f>
        <v>1</v>
      </c>
      <c r="D8" s="43" t="str">
        <f aca="false">INDEX(Maos_por_spot!$E$5:$E$173,MATCH($B8,Maos_por_spot!$A$5:$A$173,0))</f>
        <v>Call</v>
      </c>
      <c r="E8" s="40" t="n">
        <f aca="false">INDEX(Folds_total!$B$5:$B$173,MATCH($B8,Folds_total!$A$5:$A$173,0))</f>
        <v>0</v>
      </c>
      <c r="F8" s="44" t="n">
        <f aca="false">IF(E8="","",E8*C8)</f>
        <v>0</v>
      </c>
      <c r="G8" s="9" t="str">
        <f aca="false">IF(E8="","",IF(AND(C8&gt;=0.8,E8&gt;=$D$4),"Revisar: o solver quase sempre defende",""))</f>
        <v/>
      </c>
      <c r="H8" s="45"/>
    </row>
    <row r="9" customFormat="false" ht="15" hidden="false" customHeight="true" outlineLevel="0" collapsed="false">
      <c r="A9" s="5" t="s">
        <v>38</v>
      </c>
      <c r="B9" s="9" t="s">
        <v>89</v>
      </c>
      <c r="C9" s="41" t="n">
        <f aca="false">INDEX(Maos_por_spot!$D$5:$D$173,MATCH($B9,Maos_por_spot!$A$5:$A$173,0))</f>
        <v>1</v>
      </c>
      <c r="D9" s="43" t="str">
        <f aca="false">INDEX(Maos_por_spot!$E$5:$E$173,MATCH($B9,Maos_por_spot!$A$5:$A$173,0))</f>
        <v>Call</v>
      </c>
      <c r="E9" s="40" t="n">
        <f aca="false">INDEX(Folds_total!$B$5:$B$173,MATCH($B9,Folds_total!$A$5:$A$173,0))</f>
        <v>0</v>
      </c>
      <c r="F9" s="44" t="n">
        <f aca="false">IF(E9="","",E9*C9)</f>
        <v>0</v>
      </c>
      <c r="G9" s="9" t="str">
        <f aca="false">IF(E9="","",IF(AND(C9&gt;=0.8,E9&gt;=$D$4),"Revisar: o solver quase sempre defende",""))</f>
        <v/>
      </c>
      <c r="H9" s="45"/>
    </row>
    <row r="10" customFormat="false" ht="15" hidden="false" customHeight="true" outlineLevel="0" collapsed="false">
      <c r="A10" s="5" t="s">
        <v>38</v>
      </c>
      <c r="B10" s="9" t="s">
        <v>90</v>
      </c>
      <c r="C10" s="41" t="n">
        <f aca="false">INDEX(Maos_por_spot!$D$5:$D$173,MATCH($B10,Maos_por_spot!$A$5:$A$173,0))</f>
        <v>1</v>
      </c>
      <c r="D10" s="43" t="str">
        <f aca="false">INDEX(Maos_por_spot!$E$5:$E$173,MATCH($B10,Maos_por_spot!$A$5:$A$173,0))</f>
        <v>Call</v>
      </c>
      <c r="E10" s="40" t="n">
        <f aca="false">INDEX(Folds_total!$B$5:$B$173,MATCH($B10,Folds_total!$A$5:$A$173,0))</f>
        <v>0</v>
      </c>
      <c r="F10" s="44" t="n">
        <f aca="false">IF(E10="","",E10*C10)</f>
        <v>0</v>
      </c>
      <c r="G10" s="9" t="str">
        <f aca="false">IF(E10="","",IF(AND(C10&gt;=0.8,E10&gt;=$D$4),"Revisar: o solver quase sempre defende",""))</f>
        <v/>
      </c>
      <c r="H10" s="45"/>
    </row>
    <row r="11" customFormat="false" ht="15" hidden="false" customHeight="true" outlineLevel="0" collapsed="false">
      <c r="A11" s="5" t="s">
        <v>38</v>
      </c>
      <c r="B11" s="9" t="s">
        <v>91</v>
      </c>
      <c r="C11" s="41" t="n">
        <f aca="false">INDEX(Maos_por_spot!$D$5:$D$173,MATCH($B11,Maos_por_spot!$A$5:$A$173,0))</f>
        <v>1</v>
      </c>
      <c r="D11" s="43" t="str">
        <f aca="false">INDEX(Maos_por_spot!$E$5:$E$173,MATCH($B11,Maos_por_spot!$A$5:$A$173,0))</f>
        <v>3bet/call</v>
      </c>
      <c r="E11" s="40" t="n">
        <f aca="false">INDEX(Folds_total!$B$5:$B$173,MATCH($B11,Folds_total!$A$5:$A$173,0))</f>
        <v>0</v>
      </c>
      <c r="F11" s="44" t="n">
        <f aca="false">IF(E11="","",E11*C11)</f>
        <v>0</v>
      </c>
      <c r="G11" s="9" t="str">
        <f aca="false">IF(E11="","",IF(AND(C11&gt;=0.8,E11&gt;=$D$4),"Revisar: o solver quase sempre defende",""))</f>
        <v/>
      </c>
      <c r="H11" s="45"/>
    </row>
    <row r="12" customFormat="false" ht="15" hidden="false" customHeight="true" outlineLevel="0" collapsed="false">
      <c r="A12" s="5" t="s">
        <v>38</v>
      </c>
      <c r="B12" s="9" t="s">
        <v>92</v>
      </c>
      <c r="C12" s="41" t="n">
        <f aca="false">INDEX(Maos_por_spot!$D$5:$D$173,MATCH($B12,Maos_por_spot!$A$5:$A$173,0))</f>
        <v>1</v>
      </c>
      <c r="D12" s="43" t="str">
        <f aca="false">INDEX(Maos_por_spot!$E$5:$E$173,MATCH($B12,Maos_por_spot!$A$5:$A$173,0))</f>
        <v>3bet/call</v>
      </c>
      <c r="E12" s="40" t="n">
        <f aca="false">INDEX(Folds_total!$B$5:$B$173,MATCH($B12,Folds_total!$A$5:$A$173,0))</f>
        <v>2</v>
      </c>
      <c r="F12" s="44" t="n">
        <f aca="false">IF(E12="","",E12*C12)</f>
        <v>2</v>
      </c>
      <c r="G12" s="9" t="str">
        <f aca="false">IF(E12="","",IF(AND(C12&gt;=0.8,E12&gt;=$D$4),"Revisar: o solver quase sempre defende",""))</f>
        <v/>
      </c>
      <c r="H12" s="45"/>
    </row>
    <row r="13" customFormat="false" ht="15" hidden="false" customHeight="true" outlineLevel="0" collapsed="false">
      <c r="A13" s="5" t="s">
        <v>38</v>
      </c>
      <c r="B13" s="9" t="s">
        <v>94</v>
      </c>
      <c r="C13" s="41" t="n">
        <f aca="false">INDEX(Maos_por_spot!$D$5:$D$173,MATCH($B13,Maos_por_spot!$A$5:$A$173,0))</f>
        <v>0.6</v>
      </c>
      <c r="D13" s="43" t="str">
        <f aca="false">INDEX(Maos_por_spot!$E$5:$E$173,MATCH($B13,Maos_por_spot!$A$5:$A$173,0))</f>
        <v>3bet</v>
      </c>
      <c r="E13" s="40" t="n">
        <f aca="false">INDEX(Folds_total!$B$5:$B$173,MATCH($B13,Folds_total!$A$5:$A$173,0))</f>
        <v>0</v>
      </c>
      <c r="F13" s="44" t="n">
        <f aca="false">IF(E13="","",E13*C13)</f>
        <v>0</v>
      </c>
      <c r="G13" s="9" t="str">
        <f aca="false">IF(E13="","",IF(AND(C13&gt;=0.8,E13&gt;=$D$4),"Revisar: o solver quase sempre defende",""))</f>
        <v/>
      </c>
      <c r="H13" s="45"/>
    </row>
    <row r="14" customFormat="false" ht="15" hidden="false" customHeight="true" outlineLevel="0" collapsed="false">
      <c r="A14" s="5" t="s">
        <v>38</v>
      </c>
      <c r="B14" s="9" t="s">
        <v>95</v>
      </c>
      <c r="C14" s="41" t="n">
        <f aca="false">INDEX(Maos_por_spot!$D$5:$D$173,MATCH($B14,Maos_por_spot!$A$5:$A$173,0))</f>
        <v>1</v>
      </c>
      <c r="D14" s="43" t="str">
        <f aca="false">INDEX(Maos_por_spot!$E$5:$E$173,MATCH($B14,Maos_por_spot!$A$5:$A$173,0))</f>
        <v>3bet/call</v>
      </c>
      <c r="E14" s="40" t="n">
        <f aca="false">INDEX(Folds_total!$B$5:$B$173,MATCH($B14,Folds_total!$A$5:$A$173,0))</f>
        <v>3</v>
      </c>
      <c r="F14" s="44" t="n">
        <f aca="false">IF(E14="","",E14*C14)</f>
        <v>3</v>
      </c>
      <c r="G14" s="9" t="str">
        <f aca="false">IF(E14="","",IF(AND(C14&gt;=0.8,E14&gt;=$D$4),"Revisar: o solver quase sempre defende",""))</f>
        <v/>
      </c>
      <c r="H14" s="45"/>
    </row>
    <row r="15" customFormat="false" ht="15" hidden="false" customHeight="true" outlineLevel="0" collapsed="false">
      <c r="A15" s="5" t="s">
        <v>38</v>
      </c>
      <c r="B15" s="9" t="s">
        <v>99</v>
      </c>
      <c r="C15" s="41" t="n">
        <f aca="false">INDEX(Maos_por_spot!$D$5:$D$173,MATCH($B15,Maos_por_spot!$A$5:$A$173,0))</f>
        <v>1</v>
      </c>
      <c r="D15" s="43" t="str">
        <f aca="false">INDEX(Maos_por_spot!$E$5:$E$173,MATCH($B15,Maos_por_spot!$A$5:$A$173,0))</f>
        <v>3bet</v>
      </c>
      <c r="E15" s="40" t="n">
        <f aca="false">INDEX(Folds_total!$B$5:$B$173,MATCH($B15,Folds_total!$A$5:$A$173,0))</f>
        <v>0</v>
      </c>
      <c r="F15" s="44" t="n">
        <f aca="false">IF(E15="","",E15*C15)</f>
        <v>0</v>
      </c>
      <c r="G15" s="9" t="str">
        <f aca="false">IF(E15="","",IF(AND(C15&gt;=0.8,E15&gt;=$D$4),"Revisar: o solver quase sempre defende",""))</f>
        <v/>
      </c>
      <c r="H15" s="45"/>
    </row>
    <row r="16" customFormat="false" ht="15" hidden="false" customHeight="true" outlineLevel="0" collapsed="false">
      <c r="A16" s="5" t="s">
        <v>38</v>
      </c>
      <c r="B16" s="9" t="s">
        <v>100</v>
      </c>
      <c r="C16" s="41" t="n">
        <f aca="false">INDEX(Maos_por_spot!$D$5:$D$173,MATCH($B16,Maos_por_spot!$A$5:$A$173,0))</f>
        <v>1</v>
      </c>
      <c r="D16" s="43" t="str">
        <f aca="false">INDEX(Maos_por_spot!$E$5:$E$173,MATCH($B16,Maos_por_spot!$A$5:$A$173,0))</f>
        <v>3bet</v>
      </c>
      <c r="E16" s="40" t="n">
        <f aca="false">INDEX(Folds_total!$B$5:$B$173,MATCH($B16,Folds_total!$A$5:$A$173,0))</f>
        <v>0</v>
      </c>
      <c r="F16" s="44" t="n">
        <f aca="false">IF(E16="","",E16*C16)</f>
        <v>0</v>
      </c>
      <c r="G16" s="9" t="str">
        <f aca="false">IF(E16="","",IF(AND(C16&gt;=0.8,E16&gt;=$D$4),"Revisar: o solver quase sempre defende",""))</f>
        <v/>
      </c>
      <c r="H16" s="45"/>
    </row>
    <row r="17" customFormat="false" ht="15" hidden="false" customHeight="true" outlineLevel="0" collapsed="false">
      <c r="A17" s="5" t="s">
        <v>38</v>
      </c>
      <c r="B17" s="9" t="s">
        <v>101</v>
      </c>
      <c r="C17" s="41" t="n">
        <f aca="false">INDEX(Maos_por_spot!$D$5:$D$173,MATCH($B17,Maos_por_spot!$A$5:$A$173,0))</f>
        <v>1</v>
      </c>
      <c r="D17" s="43" t="str">
        <f aca="false">INDEX(Maos_por_spot!$E$5:$E$173,MATCH($B17,Maos_por_spot!$A$5:$A$173,0))</f>
        <v>Call</v>
      </c>
      <c r="E17" s="40" t="n">
        <f aca="false">INDEX(Folds_total!$B$5:$B$173,MATCH($B17,Folds_total!$A$5:$A$173,0))</f>
        <v>0</v>
      </c>
      <c r="F17" s="44" t="n">
        <f aca="false">IF(E17="","",E17*C17)</f>
        <v>0</v>
      </c>
      <c r="G17" s="9" t="str">
        <f aca="false">IF(E17="","",IF(AND(C17&gt;=0.8,E17&gt;=$D$4),"Revisar: o solver quase sempre defende",""))</f>
        <v/>
      </c>
      <c r="H17" s="45"/>
    </row>
    <row r="18" customFormat="false" ht="15" hidden="false" customHeight="true" outlineLevel="0" collapsed="false">
      <c r="A18" s="5" t="s">
        <v>38</v>
      </c>
      <c r="B18" s="9" t="s">
        <v>102</v>
      </c>
      <c r="C18" s="41" t="n">
        <f aca="false">INDEX(Maos_por_spot!$D$5:$D$173,MATCH($B18,Maos_por_spot!$A$5:$A$173,0))</f>
        <v>1</v>
      </c>
      <c r="D18" s="43" t="str">
        <f aca="false">INDEX(Maos_por_spot!$E$5:$E$173,MATCH($B18,Maos_por_spot!$A$5:$A$173,0))</f>
        <v>Call</v>
      </c>
      <c r="E18" s="40" t="n">
        <f aca="false">INDEX(Folds_total!$B$5:$B$173,MATCH($B18,Folds_total!$A$5:$A$173,0))</f>
        <v>0</v>
      </c>
      <c r="F18" s="44" t="n">
        <f aca="false">IF(E18="","",E18*C18)</f>
        <v>0</v>
      </c>
      <c r="G18" s="9" t="str">
        <f aca="false">IF(E18="","",IF(AND(C18&gt;=0.8,E18&gt;=$D$4),"Revisar: o solver quase sempre defende",""))</f>
        <v/>
      </c>
      <c r="H18" s="45"/>
    </row>
    <row r="19" customFormat="false" ht="15" hidden="false" customHeight="true" outlineLevel="0" collapsed="false">
      <c r="A19" s="5" t="s">
        <v>38</v>
      </c>
      <c r="B19" s="9" t="s">
        <v>103</v>
      </c>
      <c r="C19" s="41" t="n">
        <f aca="false">INDEX(Maos_por_spot!$D$5:$D$173,MATCH($B19,Maos_por_spot!$A$5:$A$173,0))</f>
        <v>1</v>
      </c>
      <c r="D19" s="43" t="str">
        <f aca="false">INDEX(Maos_por_spot!$E$5:$E$173,MATCH($B19,Maos_por_spot!$A$5:$A$173,0))</f>
        <v>3bet/call</v>
      </c>
      <c r="E19" s="40" t="n">
        <f aca="false">INDEX(Folds_total!$B$5:$B$173,MATCH($B19,Folds_total!$A$5:$A$173,0))</f>
        <v>0</v>
      </c>
      <c r="F19" s="44" t="n">
        <f aca="false">IF(E19="","",E19*C19)</f>
        <v>0</v>
      </c>
      <c r="G19" s="9" t="str">
        <f aca="false">IF(E19="","",IF(AND(C19&gt;=0.8,E19&gt;=$D$4),"Revisar: o solver quase sempre defende",""))</f>
        <v/>
      </c>
      <c r="H19" s="45"/>
    </row>
    <row r="20" customFormat="false" ht="15" hidden="false" customHeight="true" outlineLevel="0" collapsed="false">
      <c r="A20" s="5" t="s">
        <v>38</v>
      </c>
      <c r="B20" s="9" t="s">
        <v>104</v>
      </c>
      <c r="C20" s="41" t="n">
        <f aca="false">INDEX(Maos_por_spot!$D$5:$D$173,MATCH($B20,Maos_por_spot!$A$5:$A$173,0))</f>
        <v>1</v>
      </c>
      <c r="D20" s="43" t="str">
        <f aca="false">INDEX(Maos_por_spot!$E$5:$E$173,MATCH($B20,Maos_por_spot!$A$5:$A$173,0))</f>
        <v>3bet</v>
      </c>
      <c r="E20" s="40" t="n">
        <f aca="false">INDEX(Folds_total!$B$5:$B$173,MATCH($B20,Folds_total!$A$5:$A$173,0))</f>
        <v>0</v>
      </c>
      <c r="F20" s="44" t="n">
        <f aca="false">IF(E20="","",E20*C20)</f>
        <v>0</v>
      </c>
      <c r="G20" s="9" t="str">
        <f aca="false">IF(E20="","",IF(AND(C20&gt;=0.8,E20&gt;=$D$4),"Revisar: o solver quase sempre defende",""))</f>
        <v/>
      </c>
      <c r="H20" s="45"/>
    </row>
    <row r="21" customFormat="false" ht="15" hidden="false" customHeight="true" outlineLevel="0" collapsed="false">
      <c r="A21" s="5" t="s">
        <v>38</v>
      </c>
      <c r="B21" s="9" t="s">
        <v>112</v>
      </c>
      <c r="C21" s="41" t="n">
        <f aca="false">INDEX(Maos_por_spot!$D$5:$D$173,MATCH($B21,Maos_por_spot!$A$5:$A$173,0))</f>
        <v>1</v>
      </c>
      <c r="D21" s="43" t="str">
        <f aca="false">INDEX(Maos_por_spot!$E$5:$E$173,MATCH($B21,Maos_por_spot!$A$5:$A$173,0))</f>
        <v>3bet/call</v>
      </c>
      <c r="E21" s="40" t="n">
        <f aca="false">INDEX(Folds_total!$B$5:$B$173,MATCH($B21,Folds_total!$A$5:$A$173,0))</f>
        <v>1</v>
      </c>
      <c r="F21" s="44" t="n">
        <f aca="false">IF(E21="","",E21*C21)</f>
        <v>1</v>
      </c>
      <c r="G21" s="9" t="str">
        <f aca="false">IF(E21="","",IF(AND(C21&gt;=0.8,E21&gt;=$D$4),"Revisar: o solver quase sempre defende",""))</f>
        <v/>
      </c>
      <c r="H21" s="45"/>
    </row>
    <row r="22" customFormat="false" ht="15" hidden="false" customHeight="true" outlineLevel="0" collapsed="false">
      <c r="A22" s="5" t="s">
        <v>38</v>
      </c>
      <c r="B22" s="9" t="s">
        <v>113</v>
      </c>
      <c r="C22" s="41" t="n">
        <f aca="false">INDEX(Maos_por_spot!$D$5:$D$173,MATCH($B22,Maos_por_spot!$A$5:$A$173,0))</f>
        <v>1</v>
      </c>
      <c r="D22" s="43" t="str">
        <f aca="false">INDEX(Maos_por_spot!$E$5:$E$173,MATCH($B22,Maos_por_spot!$A$5:$A$173,0))</f>
        <v>3bet/call</v>
      </c>
      <c r="E22" s="40" t="n">
        <f aca="false">INDEX(Folds_total!$B$5:$B$173,MATCH($B22,Folds_total!$A$5:$A$173,0))</f>
        <v>6</v>
      </c>
      <c r="F22" s="44" t="n">
        <f aca="false">IF(E22="","",E22*C22)</f>
        <v>6</v>
      </c>
      <c r="G22" s="9" t="str">
        <f aca="false">IF(E22="","",IF(AND(C22&gt;=0.8,E22&gt;=$D$4),"Revisar: o solver quase sempre defende",""))</f>
        <v/>
      </c>
      <c r="H22" s="45"/>
    </row>
    <row r="23" customFormat="false" ht="15" hidden="false" customHeight="true" outlineLevel="0" collapsed="false">
      <c r="A23" s="5" t="s">
        <v>38</v>
      </c>
      <c r="B23" s="9" t="s">
        <v>114</v>
      </c>
      <c r="C23" s="41" t="n">
        <f aca="false">INDEX(Maos_por_spot!$D$5:$D$173,MATCH($B23,Maos_por_spot!$A$5:$A$173,0))</f>
        <v>1</v>
      </c>
      <c r="D23" s="43" t="str">
        <f aca="false">INDEX(Maos_por_spot!$E$5:$E$173,MATCH($B23,Maos_por_spot!$A$5:$A$173,0))</f>
        <v>3bet</v>
      </c>
      <c r="E23" s="40" t="n">
        <f aca="false">INDEX(Folds_total!$B$5:$B$173,MATCH($B23,Folds_total!$A$5:$A$173,0))</f>
        <v>0</v>
      </c>
      <c r="F23" s="44" t="n">
        <f aca="false">IF(E23="","",E23*C23)</f>
        <v>0</v>
      </c>
      <c r="G23" s="9" t="str">
        <f aca="false">IF(E23="","",IF(AND(C23&gt;=0.8,E23&gt;=$D$4),"Revisar: o solver quase sempre defende",""))</f>
        <v/>
      </c>
      <c r="H23" s="45"/>
    </row>
    <row r="24" customFormat="false" ht="15" hidden="false" customHeight="true" outlineLevel="0" collapsed="false">
      <c r="A24" s="5" t="s">
        <v>38</v>
      </c>
      <c r="B24" s="9" t="s">
        <v>115</v>
      </c>
      <c r="C24" s="41" t="n">
        <f aca="false">INDEX(Maos_por_spot!$D$5:$D$173,MATCH($B24,Maos_por_spot!$A$5:$A$173,0))</f>
        <v>1</v>
      </c>
      <c r="D24" s="43" t="str">
        <f aca="false">INDEX(Maos_por_spot!$E$5:$E$173,MATCH($B24,Maos_por_spot!$A$5:$A$173,0))</f>
        <v>3bet/call</v>
      </c>
      <c r="E24" s="40" t="n">
        <f aca="false">INDEX(Folds_total!$B$5:$B$173,MATCH($B24,Folds_total!$A$5:$A$173,0))</f>
        <v>2</v>
      </c>
      <c r="F24" s="44" t="n">
        <f aca="false">IF(E24="","",E24*C24)</f>
        <v>2</v>
      </c>
      <c r="G24" s="9" t="str">
        <f aca="false">IF(E24="","",IF(AND(C24&gt;=0.8,E24&gt;=$D$4),"Revisar: o solver quase sempre defende",""))</f>
        <v/>
      </c>
      <c r="H24" s="45"/>
    </row>
    <row r="25" customFormat="false" ht="15" hidden="false" customHeight="true" outlineLevel="0" collapsed="false">
      <c r="A25" s="5" t="s">
        <v>38</v>
      </c>
      <c r="B25" s="9" t="s">
        <v>116</v>
      </c>
      <c r="C25" s="41" t="n">
        <f aca="false">INDEX(Maos_por_spot!$D$5:$D$173,MATCH($B25,Maos_por_spot!$A$5:$A$173,0))</f>
        <v>1</v>
      </c>
      <c r="D25" s="43" t="str">
        <f aca="false">INDEX(Maos_por_spot!$E$5:$E$173,MATCH($B25,Maos_por_spot!$A$5:$A$173,0))</f>
        <v>3bet/call</v>
      </c>
      <c r="E25" s="40" t="n">
        <f aca="false">INDEX(Folds_total!$B$5:$B$173,MATCH($B25,Folds_total!$A$5:$A$173,0))</f>
        <v>0</v>
      </c>
      <c r="F25" s="44" t="n">
        <f aca="false">IF(E25="","",E25*C25)</f>
        <v>0</v>
      </c>
      <c r="G25" s="9" t="str">
        <f aca="false">IF(E25="","",IF(AND(C25&gt;=0.8,E25&gt;=$D$4),"Revisar: o solver quase sempre defende",""))</f>
        <v/>
      </c>
      <c r="H25" s="45"/>
    </row>
    <row r="26" customFormat="false" ht="15" hidden="false" customHeight="true" outlineLevel="0" collapsed="false">
      <c r="A26" s="5" t="s">
        <v>38</v>
      </c>
      <c r="B26" s="9" t="s">
        <v>125</v>
      </c>
      <c r="C26" s="41" t="n">
        <f aca="false">INDEX(Maos_por_spot!$D$5:$D$173,MATCH($B26,Maos_por_spot!$A$5:$A$173,0))</f>
        <v>1</v>
      </c>
      <c r="D26" s="43" t="str">
        <f aca="false">INDEX(Maos_por_spot!$E$5:$E$173,MATCH($B26,Maos_por_spot!$A$5:$A$173,0))</f>
        <v>3bet/call</v>
      </c>
      <c r="E26" s="40" t="n">
        <f aca="false">INDEX(Folds_total!$B$5:$B$173,MATCH($B26,Folds_total!$A$5:$A$173,0))</f>
        <v>1</v>
      </c>
      <c r="F26" s="44" t="n">
        <f aca="false">IF(E26="","",E26*C26)</f>
        <v>1</v>
      </c>
      <c r="G26" s="9" t="str">
        <f aca="false">IF(E26="","",IF(AND(C26&gt;=0.8,E26&gt;=$D$4),"Revisar: o solver quase sempre defende",""))</f>
        <v/>
      </c>
      <c r="H26" s="45"/>
    </row>
    <row r="27" customFormat="false" ht="15" hidden="false" customHeight="true" outlineLevel="0" collapsed="false">
      <c r="A27" s="5" t="s">
        <v>38</v>
      </c>
      <c r="B27" s="9" t="s">
        <v>128</v>
      </c>
      <c r="C27" s="41" t="n">
        <f aca="false">INDEX(Maos_por_spot!$D$5:$D$173,MATCH($B27,Maos_por_spot!$A$5:$A$173,0))</f>
        <v>1</v>
      </c>
      <c r="D27" s="43" t="str">
        <f aca="false">INDEX(Maos_por_spot!$E$5:$E$173,MATCH($B27,Maos_por_spot!$A$5:$A$173,0))</f>
        <v>3bet</v>
      </c>
      <c r="E27" s="40" t="n">
        <f aca="false">INDEX(Folds_total!$B$5:$B$173,MATCH($B27,Folds_total!$A$5:$A$173,0))</f>
        <v>1</v>
      </c>
      <c r="F27" s="44" t="n">
        <f aca="false">IF(E27="","",E27*C27)</f>
        <v>1</v>
      </c>
      <c r="G27" s="9" t="str">
        <f aca="false">IF(E27="","",IF(AND(C27&gt;=0.8,E27&gt;=$D$4),"Revisar: o solver quase sempre defende",""))</f>
        <v/>
      </c>
      <c r="H27" s="45"/>
    </row>
    <row r="28" customFormat="false" ht="15" hidden="false" customHeight="true" outlineLevel="0" collapsed="false">
      <c r="A28" s="5" t="s">
        <v>38</v>
      </c>
      <c r="B28" s="9" t="s">
        <v>129</v>
      </c>
      <c r="C28" s="41" t="n">
        <f aca="false">INDEX(Maos_por_spot!$D$5:$D$173,MATCH($B28,Maos_por_spot!$A$5:$A$173,0))</f>
        <v>1</v>
      </c>
      <c r="D28" s="43" t="str">
        <f aca="false">INDEX(Maos_por_spot!$E$5:$E$173,MATCH($B28,Maos_por_spot!$A$5:$A$173,0))</f>
        <v>3bet/call</v>
      </c>
      <c r="E28" s="40" t="n">
        <f aca="false">INDEX(Folds_total!$B$5:$B$173,MATCH($B28,Folds_total!$A$5:$A$173,0))</f>
        <v>1</v>
      </c>
      <c r="F28" s="44" t="n">
        <f aca="false">IF(E28="","",E28*C28)</f>
        <v>1</v>
      </c>
      <c r="G28" s="9" t="str">
        <f aca="false">IF(E28="","",IF(AND(C28&gt;=0.8,E28&gt;=$D$4),"Revisar: o solver quase sempre defende",""))</f>
        <v/>
      </c>
      <c r="H28" s="45"/>
    </row>
    <row r="29" customFormat="false" ht="15" hidden="false" customHeight="true" outlineLevel="0" collapsed="false">
      <c r="A29" s="5" t="s">
        <v>38</v>
      </c>
      <c r="B29" s="9" t="s">
        <v>138</v>
      </c>
      <c r="C29" s="41" t="n">
        <f aca="false">INDEX(Maos_por_spot!$D$5:$D$173,MATCH($B29,Maos_por_spot!$A$5:$A$173,0))</f>
        <v>0.6</v>
      </c>
      <c r="D29" s="43" t="str">
        <f aca="false">INDEX(Maos_por_spot!$E$5:$E$173,MATCH($B29,Maos_por_spot!$A$5:$A$173,0))</f>
        <v>3bet</v>
      </c>
      <c r="E29" s="40" t="n">
        <f aca="false">INDEX(Folds_total!$B$5:$B$173,MATCH($B29,Folds_total!$A$5:$A$173,0))</f>
        <v>4</v>
      </c>
      <c r="F29" s="44" t="n">
        <f aca="false">IF(E29="","",E29*C29)</f>
        <v>2.4</v>
      </c>
      <c r="G29" s="9" t="str">
        <f aca="false">IF(E29="","",IF(AND(C29&gt;=0.8,E29&gt;=$D$4),"Revisar: o solver quase sempre defende",""))</f>
        <v/>
      </c>
      <c r="H29" s="45"/>
    </row>
    <row r="30" customFormat="false" ht="15" hidden="false" customHeight="true" outlineLevel="0" collapsed="false">
      <c r="A30" s="5" t="s">
        <v>38</v>
      </c>
      <c r="B30" s="9" t="s">
        <v>142</v>
      </c>
      <c r="C30" s="41" t="n">
        <f aca="false">INDEX(Maos_por_spot!$D$5:$D$173,MATCH($B30,Maos_por_spot!$A$5:$A$173,0))</f>
        <v>1</v>
      </c>
      <c r="D30" s="43" t="str">
        <f aca="false">INDEX(Maos_por_spot!$E$5:$E$173,MATCH($B30,Maos_por_spot!$A$5:$A$173,0))</f>
        <v>3bet/call</v>
      </c>
      <c r="E30" s="40" t="n">
        <f aca="false">INDEX(Folds_total!$B$5:$B$173,MATCH($B30,Folds_total!$A$5:$A$173,0))</f>
        <v>0</v>
      </c>
      <c r="F30" s="44" t="n">
        <f aca="false">IF(E30="","",E30*C30)</f>
        <v>0</v>
      </c>
      <c r="G30" s="9" t="str">
        <f aca="false">IF(E30="","",IF(AND(C30&gt;=0.8,E30&gt;=$D$4),"Revisar: o solver quase sempre defende",""))</f>
        <v/>
      </c>
      <c r="H30" s="45"/>
    </row>
    <row r="31" customFormat="false" ht="15" hidden="false" customHeight="true" outlineLevel="0" collapsed="false">
      <c r="A31" s="5" t="s">
        <v>38</v>
      </c>
      <c r="B31" s="9" t="s">
        <v>143</v>
      </c>
      <c r="C31" s="41" t="n">
        <f aca="false">INDEX(Maos_por_spot!$D$5:$D$173,MATCH($B31,Maos_por_spot!$A$5:$A$173,0))</f>
        <v>1</v>
      </c>
      <c r="D31" s="43" t="str">
        <f aca="false">INDEX(Maos_por_spot!$E$5:$E$173,MATCH($B31,Maos_por_spot!$A$5:$A$173,0))</f>
        <v>3bet/call</v>
      </c>
      <c r="E31" s="40" t="n">
        <f aca="false">INDEX(Folds_total!$B$5:$B$173,MATCH($B31,Folds_total!$A$5:$A$173,0))</f>
        <v>3</v>
      </c>
      <c r="F31" s="44" t="n">
        <f aca="false">IF(E31="","",E31*C31)</f>
        <v>3</v>
      </c>
      <c r="G31" s="9" t="str">
        <f aca="false">IF(E31="","",IF(AND(C31&gt;=0.8,E31&gt;=$D$4),"Revisar: o solver quase sempre defende",""))</f>
        <v/>
      </c>
      <c r="H31" s="45"/>
    </row>
    <row r="32" customFormat="false" ht="15" hidden="false" customHeight="true" outlineLevel="0" collapsed="false">
      <c r="A32" s="5" t="s">
        <v>38</v>
      </c>
      <c r="B32" s="9" t="s">
        <v>156</v>
      </c>
      <c r="C32" s="41" t="n">
        <f aca="false">INDEX(Maos_por_spot!$D$5:$D$173,MATCH($B32,Maos_por_spot!$A$5:$A$173,0))</f>
        <v>1</v>
      </c>
      <c r="D32" s="43" t="str">
        <f aca="false">INDEX(Maos_por_spot!$E$5:$E$173,MATCH($B32,Maos_por_spot!$A$5:$A$173,0))</f>
        <v>3bet/call</v>
      </c>
      <c r="E32" s="40" t="n">
        <f aca="false">INDEX(Folds_total!$B$5:$B$173,MATCH($B32,Folds_total!$A$5:$A$173,0))</f>
        <v>0</v>
      </c>
      <c r="F32" s="44" t="n">
        <f aca="false">IF(E32="","",E32*C32)</f>
        <v>0</v>
      </c>
      <c r="G32" s="9" t="str">
        <f aca="false">IF(E32="","",IF(AND(C32&gt;=0.8,E32&gt;=$D$4),"Revisar: o solver quase sempre defende",""))</f>
        <v/>
      </c>
      <c r="H32" s="45"/>
    </row>
    <row r="33" customFormat="false" ht="15" hidden="false" customHeight="true" outlineLevel="0" collapsed="false">
      <c r="A33" s="5" t="s">
        <v>38</v>
      </c>
      <c r="B33" s="9" t="s">
        <v>170</v>
      </c>
      <c r="C33" s="41" t="n">
        <f aca="false">INDEX(Maos_por_spot!$D$5:$D$173,MATCH($B33,Maos_por_spot!$A$5:$A$173,0))</f>
        <v>1</v>
      </c>
      <c r="D33" s="43" t="str">
        <f aca="false">INDEX(Maos_por_spot!$E$5:$E$173,MATCH($B33,Maos_por_spot!$A$5:$A$173,0))</f>
        <v>3bet/call</v>
      </c>
      <c r="E33" s="40" t="n">
        <f aca="false">INDEX(Folds_total!$B$5:$B$173,MATCH($B33,Folds_total!$A$5:$A$173,0))</f>
        <v>0</v>
      </c>
      <c r="F33" s="44" t="n">
        <f aca="false">IF(E33="","",E33*C33)</f>
        <v>0</v>
      </c>
      <c r="G33" s="9" t="str">
        <f aca="false">IF(E33="","",IF(AND(C33&gt;=0.8,E33&gt;=$D$4),"Revisar: o solver quase sempre defende",""))</f>
        <v/>
      </c>
      <c r="H33" s="45"/>
    </row>
    <row r="34" customFormat="false" ht="15" hidden="false" customHeight="true" outlineLevel="0" collapsed="false">
      <c r="A34" s="5" t="s">
        <v>38</v>
      </c>
      <c r="B34" s="9" t="s">
        <v>184</v>
      </c>
      <c r="C34" s="41" t="n">
        <f aca="false">INDEX(Maos_por_spot!$D$5:$D$173,MATCH($B34,Maos_por_spot!$A$5:$A$173,0))</f>
        <v>1</v>
      </c>
      <c r="D34" s="43" t="str">
        <f aca="false">INDEX(Maos_por_spot!$E$5:$E$173,MATCH($B34,Maos_por_spot!$A$5:$A$173,0))</f>
        <v>3bet/call</v>
      </c>
      <c r="E34" s="40" t="n">
        <f aca="false">INDEX(Folds_total!$B$5:$B$173,MATCH($B34,Folds_total!$A$5:$A$173,0))</f>
        <v>2</v>
      </c>
      <c r="F34" s="44" t="n">
        <f aca="false">IF(E34="","",E34*C34)</f>
        <v>2</v>
      </c>
      <c r="G34" s="9" t="str">
        <f aca="false">IF(E34="","",IF(AND(C34&gt;=0.8,E34&gt;=$D$4),"Revisar: o solver quase sempre defende",""))</f>
        <v/>
      </c>
      <c r="H34" s="45"/>
    </row>
    <row r="35" customFormat="false" ht="15" hidden="false" customHeight="true" outlineLevel="0" collapsed="false">
      <c r="A35" s="5" t="s">
        <v>38</v>
      </c>
      <c r="B35" s="9" t="s">
        <v>198</v>
      </c>
      <c r="C35" s="41" t="n">
        <f aca="false">INDEX(Maos_por_spot!$D$5:$D$173,MATCH($B35,Maos_por_spot!$A$5:$A$173,0))</f>
        <v>0.7</v>
      </c>
      <c r="D35" s="43" t="str">
        <f aca="false">INDEX(Maos_por_spot!$E$5:$E$173,MATCH($B35,Maos_por_spot!$A$5:$A$173,0))</f>
        <v>Call</v>
      </c>
      <c r="E35" s="40" t="n">
        <f aca="false">INDEX(Folds_total!$B$5:$B$173,MATCH($B35,Folds_total!$A$5:$A$173,0))</f>
        <v>1</v>
      </c>
      <c r="F35" s="44" t="n">
        <f aca="false">IF(E35="","",E35*C35)</f>
        <v>0.7</v>
      </c>
      <c r="G35" s="9" t="str">
        <f aca="false">IF(E35="","",IF(AND(C35&gt;=0.8,E35&gt;=$D$4),"Revisar: o solver quase sempre defende",""))</f>
        <v/>
      </c>
      <c r="H35" s="45"/>
    </row>
    <row r="36" customFormat="false" ht="15" hidden="false" customHeight="true" outlineLevel="0" collapsed="false">
      <c r="A36" s="5" t="s">
        <v>38</v>
      </c>
      <c r="B36" s="9" t="s">
        <v>212</v>
      </c>
      <c r="C36" s="41" t="n">
        <f aca="false">INDEX(Maos_por_spot!$D$5:$D$173,MATCH($B36,Maos_por_spot!$A$5:$A$173,0))</f>
        <v>0.45</v>
      </c>
      <c r="D36" s="43" t="str">
        <f aca="false">INDEX(Maos_por_spot!$E$5:$E$173,MATCH($B36,Maos_por_spot!$A$5:$A$173,0))</f>
        <v>Call</v>
      </c>
      <c r="E36" s="40" t="n">
        <f aca="false">INDEX(Folds_total!$B$5:$B$173,MATCH($B36,Folds_total!$A$5:$A$173,0))</f>
        <v>1</v>
      </c>
      <c r="F36" s="44" t="n">
        <f aca="false">IF(E36="","",E36*C36)</f>
        <v>0.45</v>
      </c>
      <c r="G36" s="9" t="str">
        <f aca="false">IF(E36="","",IF(AND(C36&gt;=0.8,E36&gt;=$D$4),"Revisar: o solver quase sempre defende",""))</f>
        <v/>
      </c>
      <c r="H36" s="45"/>
    </row>
    <row r="37" customFormat="false" ht="15" hidden="false" customHeight="true" outlineLevel="0" collapsed="false">
      <c r="A37" s="5" t="s">
        <v>39</v>
      </c>
      <c r="B37" s="9" t="s">
        <v>86</v>
      </c>
      <c r="C37" s="41" t="n">
        <f aca="false">INDEX(Maos_por_spot!$H$5:$H$173,MATCH($B37,Maos_por_spot!$A$5:$A$173,0))</f>
        <v>1</v>
      </c>
      <c r="D37" s="43" t="str">
        <f aca="false">INDEX(Maos_por_spot!$I$5:$I$173,MATCH($B37,Maos_por_spot!$A$5:$A$173,0))</f>
        <v>3bet</v>
      </c>
      <c r="E37" s="40" t="n">
        <f aca="false">INDEX(Folds_total!$C$5:$C$173,MATCH($B37,Folds_total!$A$5:$A$173,0))</f>
        <v>0</v>
      </c>
      <c r="F37" s="44" t="n">
        <f aca="false">IF(E37="","",E37*C37)</f>
        <v>0</v>
      </c>
      <c r="G37" s="9" t="str">
        <f aca="false">IF(E37="","",IF(AND(C37&gt;=0.8,E37&gt;=$D$4),"Revisar: o solver quase sempre defende",""))</f>
        <v/>
      </c>
      <c r="H37" s="45"/>
    </row>
    <row r="38" customFormat="false" ht="15" hidden="false" customHeight="true" outlineLevel="0" collapsed="false">
      <c r="A38" s="5" t="s">
        <v>39</v>
      </c>
      <c r="B38" s="9" t="s">
        <v>87</v>
      </c>
      <c r="C38" s="41" t="n">
        <f aca="false">INDEX(Maos_por_spot!$H$5:$H$173,MATCH($B38,Maos_por_spot!$A$5:$A$173,0))</f>
        <v>1</v>
      </c>
      <c r="D38" s="43" t="str">
        <f aca="false">INDEX(Maos_por_spot!$I$5:$I$173,MATCH($B38,Maos_por_spot!$A$5:$A$173,0))</f>
        <v>3bet</v>
      </c>
      <c r="E38" s="40" t="n">
        <f aca="false">INDEX(Folds_total!$C$5:$C$173,MATCH($B38,Folds_total!$A$5:$A$173,0))</f>
        <v>0</v>
      </c>
      <c r="F38" s="44" t="n">
        <f aca="false">IF(E38="","",E38*C38)</f>
        <v>0</v>
      </c>
      <c r="G38" s="9" t="str">
        <f aca="false">IF(E38="","",IF(AND(C38&gt;=0.8,E38&gt;=$D$4),"Revisar: o solver quase sempre defende",""))</f>
        <v/>
      </c>
      <c r="H38" s="45"/>
    </row>
    <row r="39" customFormat="false" ht="15" hidden="false" customHeight="true" outlineLevel="0" collapsed="false">
      <c r="A39" s="5" t="s">
        <v>39</v>
      </c>
      <c r="B39" s="9" t="s">
        <v>88</v>
      </c>
      <c r="C39" s="41" t="n">
        <f aca="false">INDEX(Maos_por_spot!$H$5:$H$173,MATCH($B39,Maos_por_spot!$A$5:$A$173,0))</f>
        <v>1</v>
      </c>
      <c r="D39" s="43" t="str">
        <f aca="false">INDEX(Maos_por_spot!$I$5:$I$173,MATCH($B39,Maos_por_spot!$A$5:$A$173,0))</f>
        <v>3bet/call</v>
      </c>
      <c r="E39" s="40" t="n">
        <f aca="false">INDEX(Folds_total!$C$5:$C$173,MATCH($B39,Folds_total!$A$5:$A$173,0))</f>
        <v>0</v>
      </c>
      <c r="F39" s="44" t="n">
        <f aca="false">IF(E39="","",E39*C39)</f>
        <v>0</v>
      </c>
      <c r="G39" s="9" t="str">
        <f aca="false">IF(E39="","",IF(AND(C39&gt;=0.8,E39&gt;=$D$4),"Revisar: o solver quase sempre defende",""))</f>
        <v/>
      </c>
      <c r="H39" s="45"/>
    </row>
    <row r="40" customFormat="false" ht="15" hidden="false" customHeight="true" outlineLevel="0" collapsed="false">
      <c r="A40" s="5" t="s">
        <v>39</v>
      </c>
      <c r="B40" s="9" t="s">
        <v>89</v>
      </c>
      <c r="C40" s="41" t="n">
        <f aca="false">INDEX(Maos_por_spot!$H$5:$H$173,MATCH($B40,Maos_por_spot!$A$5:$A$173,0))</f>
        <v>1</v>
      </c>
      <c r="D40" s="43" t="str">
        <f aca="false">INDEX(Maos_por_spot!$I$5:$I$173,MATCH($B40,Maos_por_spot!$A$5:$A$173,0))</f>
        <v>Call</v>
      </c>
      <c r="E40" s="40" t="n">
        <f aca="false">INDEX(Folds_total!$C$5:$C$173,MATCH($B40,Folds_total!$A$5:$A$173,0))</f>
        <v>0</v>
      </c>
      <c r="F40" s="44" t="n">
        <f aca="false">IF(E40="","",E40*C40)</f>
        <v>0</v>
      </c>
      <c r="G40" s="9" t="str">
        <f aca="false">IF(E40="","",IF(AND(C40&gt;=0.8,E40&gt;=$D$4),"Revisar: o solver quase sempre defende",""))</f>
        <v/>
      </c>
      <c r="H40" s="45"/>
    </row>
    <row r="41" customFormat="false" ht="15" hidden="false" customHeight="true" outlineLevel="0" collapsed="false">
      <c r="A41" s="5" t="s">
        <v>39</v>
      </c>
      <c r="B41" s="9" t="s">
        <v>90</v>
      </c>
      <c r="C41" s="41" t="n">
        <f aca="false">INDEX(Maos_por_spot!$H$5:$H$173,MATCH($B41,Maos_por_spot!$A$5:$A$173,0))</f>
        <v>1</v>
      </c>
      <c r="D41" s="43" t="str">
        <f aca="false">INDEX(Maos_por_spot!$I$5:$I$173,MATCH($B41,Maos_por_spot!$A$5:$A$173,0))</f>
        <v>Call</v>
      </c>
      <c r="E41" s="40" t="n">
        <f aca="false">INDEX(Folds_total!$C$5:$C$173,MATCH($B41,Folds_total!$A$5:$A$173,0))</f>
        <v>0</v>
      </c>
      <c r="F41" s="44" t="n">
        <f aca="false">IF(E41="","",E41*C41)</f>
        <v>0</v>
      </c>
      <c r="G41" s="9" t="str">
        <f aca="false">IF(E41="","",IF(AND(C41&gt;=0.8,E41&gt;=$D$4),"Revisar: o solver quase sempre defende",""))</f>
        <v/>
      </c>
      <c r="H41" s="45"/>
    </row>
    <row r="42" customFormat="false" ht="15" hidden="false" customHeight="true" outlineLevel="0" collapsed="false">
      <c r="A42" s="5" t="s">
        <v>39</v>
      </c>
      <c r="B42" s="9" t="s">
        <v>91</v>
      </c>
      <c r="C42" s="41" t="n">
        <f aca="false">INDEX(Maos_por_spot!$H$5:$H$173,MATCH($B42,Maos_por_spot!$A$5:$A$173,0))</f>
        <v>1</v>
      </c>
      <c r="D42" s="43" t="str">
        <f aca="false">INDEX(Maos_por_spot!$I$5:$I$173,MATCH($B42,Maos_por_spot!$A$5:$A$173,0))</f>
        <v>3bet/call</v>
      </c>
      <c r="E42" s="40" t="n">
        <f aca="false">INDEX(Folds_total!$C$5:$C$173,MATCH($B42,Folds_total!$A$5:$A$173,0))</f>
        <v>0</v>
      </c>
      <c r="F42" s="44" t="n">
        <f aca="false">IF(E42="","",E42*C42)</f>
        <v>0</v>
      </c>
      <c r="G42" s="9" t="str">
        <f aca="false">IF(E42="","",IF(AND(C42&gt;=0.8,E42&gt;=$D$4),"Revisar: o solver quase sempre defende",""))</f>
        <v/>
      </c>
      <c r="H42" s="45"/>
    </row>
    <row r="43" customFormat="false" ht="15" hidden="false" customHeight="true" outlineLevel="0" collapsed="false">
      <c r="A43" s="5" t="s">
        <v>39</v>
      </c>
      <c r="B43" s="9" t="s">
        <v>92</v>
      </c>
      <c r="C43" s="41" t="n">
        <f aca="false">INDEX(Maos_por_spot!$H$5:$H$173,MATCH($B43,Maos_por_spot!$A$5:$A$173,0))</f>
        <v>1</v>
      </c>
      <c r="D43" s="43" t="str">
        <f aca="false">INDEX(Maos_por_spot!$I$5:$I$173,MATCH($B43,Maos_por_spot!$A$5:$A$173,0))</f>
        <v>3bet/call</v>
      </c>
      <c r="E43" s="40" t="n">
        <f aca="false">INDEX(Folds_total!$C$5:$C$173,MATCH($B43,Folds_total!$A$5:$A$173,0))</f>
        <v>1</v>
      </c>
      <c r="F43" s="44" t="n">
        <f aca="false">IF(E43="","",E43*C43)</f>
        <v>1</v>
      </c>
      <c r="G43" s="9" t="str">
        <f aca="false">IF(E43="","",IF(AND(C43&gt;=0.8,E43&gt;=$D$4),"Revisar: o solver quase sempre defende",""))</f>
        <v/>
      </c>
      <c r="H43" s="45"/>
    </row>
    <row r="44" customFormat="false" ht="15" hidden="false" customHeight="true" outlineLevel="0" collapsed="false">
      <c r="A44" s="5" t="s">
        <v>39</v>
      </c>
      <c r="B44" s="9" t="s">
        <v>93</v>
      </c>
      <c r="C44" s="41" t="n">
        <f aca="false">INDEX(Maos_por_spot!$H$5:$H$173,MATCH($B44,Maos_por_spot!$A$5:$A$173,0))</f>
        <v>1</v>
      </c>
      <c r="D44" s="43" t="str">
        <f aca="false">INDEX(Maos_por_spot!$I$5:$I$173,MATCH($B44,Maos_por_spot!$A$5:$A$173,0))</f>
        <v>3bet/call</v>
      </c>
      <c r="E44" s="40" t="n">
        <f aca="false">INDEX(Folds_total!$C$5:$C$173,MATCH($B44,Folds_total!$A$5:$A$173,0))</f>
        <v>0</v>
      </c>
      <c r="F44" s="44" t="n">
        <f aca="false">IF(E44="","",E44*C44)</f>
        <v>0</v>
      </c>
      <c r="G44" s="9" t="str">
        <f aca="false">IF(E44="","",IF(AND(C44&gt;=0.8,E44&gt;=$D$4),"Revisar: o solver quase sempre defende",""))</f>
        <v/>
      </c>
      <c r="H44" s="45"/>
    </row>
    <row r="45" customFormat="false" ht="15" hidden="false" customHeight="true" outlineLevel="0" collapsed="false">
      <c r="A45" s="5" t="s">
        <v>39</v>
      </c>
      <c r="B45" s="9" t="s">
        <v>94</v>
      </c>
      <c r="C45" s="41" t="n">
        <f aca="false">INDEX(Maos_por_spot!$H$5:$H$173,MATCH($B45,Maos_por_spot!$A$5:$A$173,0))</f>
        <v>1</v>
      </c>
      <c r="D45" s="43" t="str">
        <f aca="false">INDEX(Maos_por_spot!$I$5:$I$173,MATCH($B45,Maos_por_spot!$A$5:$A$173,0))</f>
        <v>3bet</v>
      </c>
      <c r="E45" s="40" t="n">
        <f aca="false">INDEX(Folds_total!$C$5:$C$173,MATCH($B45,Folds_total!$A$5:$A$173,0))</f>
        <v>2</v>
      </c>
      <c r="F45" s="44" t="n">
        <f aca="false">IF(E45="","",E45*C45)</f>
        <v>2</v>
      </c>
      <c r="G45" s="9" t="str">
        <f aca="false">IF(E45="","",IF(AND(C45&gt;=0.8,E45&gt;=$D$4),"Revisar: o solver quase sempre defende",""))</f>
        <v/>
      </c>
      <c r="H45" s="45"/>
    </row>
    <row r="46" customFormat="false" ht="15" hidden="false" customHeight="true" outlineLevel="0" collapsed="false">
      <c r="A46" s="5" t="s">
        <v>39</v>
      </c>
      <c r="B46" s="9" t="s">
        <v>95</v>
      </c>
      <c r="C46" s="41" t="n">
        <f aca="false">INDEX(Maos_por_spot!$H$5:$H$173,MATCH($B46,Maos_por_spot!$A$5:$A$173,0))</f>
        <v>1</v>
      </c>
      <c r="D46" s="43" t="str">
        <f aca="false">INDEX(Maos_por_spot!$I$5:$I$173,MATCH($B46,Maos_por_spot!$A$5:$A$173,0))</f>
        <v>3bet/call</v>
      </c>
      <c r="E46" s="40" t="n">
        <f aca="false">INDEX(Folds_total!$C$5:$C$173,MATCH($B46,Folds_total!$A$5:$A$173,0))</f>
        <v>2</v>
      </c>
      <c r="F46" s="44" t="n">
        <f aca="false">IF(E46="","",E46*C46)</f>
        <v>2</v>
      </c>
      <c r="G46" s="9" t="str">
        <f aca="false">IF(E46="","",IF(AND(C46&gt;=0.8,E46&gt;=$D$4),"Revisar: o solver quase sempre defende",""))</f>
        <v/>
      </c>
      <c r="H46" s="45"/>
    </row>
    <row r="47" customFormat="false" ht="15" hidden="false" customHeight="true" outlineLevel="0" collapsed="false">
      <c r="A47" s="5" t="s">
        <v>39</v>
      </c>
      <c r="B47" s="9" t="s">
        <v>96</v>
      </c>
      <c r="C47" s="41" t="n">
        <f aca="false">INDEX(Maos_por_spot!$H$5:$H$173,MATCH($B47,Maos_por_spot!$A$5:$A$173,0))</f>
        <v>1</v>
      </c>
      <c r="D47" s="43" t="str">
        <f aca="false">INDEX(Maos_por_spot!$I$5:$I$173,MATCH($B47,Maos_por_spot!$A$5:$A$173,0))</f>
        <v>3bet/call</v>
      </c>
      <c r="E47" s="40" t="n">
        <f aca="false">INDEX(Folds_total!$C$5:$C$173,MATCH($B47,Folds_total!$A$5:$A$173,0))</f>
        <v>3</v>
      </c>
      <c r="F47" s="44" t="n">
        <f aca="false">IF(E47="","",E47*C47)</f>
        <v>3</v>
      </c>
      <c r="G47" s="9" t="str">
        <f aca="false">IF(E47="","",IF(AND(C47&gt;=0.8,E47&gt;=$D$4),"Revisar: o solver quase sempre defende",""))</f>
        <v/>
      </c>
      <c r="H47" s="45"/>
    </row>
    <row r="48" customFormat="false" ht="15" hidden="false" customHeight="true" outlineLevel="0" collapsed="false">
      <c r="A48" s="5" t="s">
        <v>39</v>
      </c>
      <c r="B48" s="9" t="s">
        <v>99</v>
      </c>
      <c r="C48" s="41" t="n">
        <f aca="false">INDEX(Maos_por_spot!$H$5:$H$173,MATCH($B48,Maos_por_spot!$A$5:$A$173,0))</f>
        <v>1</v>
      </c>
      <c r="D48" s="43" t="str">
        <f aca="false">INDEX(Maos_por_spot!$I$5:$I$173,MATCH($B48,Maos_por_spot!$A$5:$A$173,0))</f>
        <v>3bet</v>
      </c>
      <c r="E48" s="40" t="n">
        <f aca="false">INDEX(Folds_total!$C$5:$C$173,MATCH($B48,Folds_total!$A$5:$A$173,0))</f>
        <v>0</v>
      </c>
      <c r="F48" s="44" t="n">
        <f aca="false">IF(E48="","",E48*C48)</f>
        <v>0</v>
      </c>
      <c r="G48" s="9" t="str">
        <f aca="false">IF(E48="","",IF(AND(C48&gt;=0.8,E48&gt;=$D$4),"Revisar: o solver quase sempre defende",""))</f>
        <v/>
      </c>
      <c r="H48" s="45"/>
    </row>
    <row r="49" customFormat="false" ht="15" hidden="false" customHeight="true" outlineLevel="0" collapsed="false">
      <c r="A49" s="5" t="s">
        <v>39</v>
      </c>
      <c r="B49" s="9" t="s">
        <v>100</v>
      </c>
      <c r="C49" s="41" t="n">
        <f aca="false">INDEX(Maos_por_spot!$H$5:$H$173,MATCH($B49,Maos_por_spot!$A$5:$A$173,0))</f>
        <v>1</v>
      </c>
      <c r="D49" s="43" t="str">
        <f aca="false">INDEX(Maos_por_spot!$I$5:$I$173,MATCH($B49,Maos_por_spot!$A$5:$A$173,0))</f>
        <v>3bet</v>
      </c>
      <c r="E49" s="40" t="n">
        <f aca="false">INDEX(Folds_total!$C$5:$C$173,MATCH($B49,Folds_total!$A$5:$A$173,0))</f>
        <v>0</v>
      </c>
      <c r="F49" s="44" t="n">
        <f aca="false">IF(E49="","",E49*C49)</f>
        <v>0</v>
      </c>
      <c r="G49" s="9" t="str">
        <f aca="false">IF(E49="","",IF(AND(C49&gt;=0.8,E49&gt;=$D$4),"Revisar: o solver quase sempre defende",""))</f>
        <v/>
      </c>
      <c r="H49" s="45"/>
    </row>
    <row r="50" customFormat="false" ht="15" hidden="false" customHeight="true" outlineLevel="0" collapsed="false">
      <c r="A50" s="5" t="s">
        <v>39</v>
      </c>
      <c r="B50" s="9" t="s">
        <v>101</v>
      </c>
      <c r="C50" s="41" t="n">
        <f aca="false">INDEX(Maos_por_spot!$H$5:$H$173,MATCH($B50,Maos_por_spot!$A$5:$A$173,0))</f>
        <v>1</v>
      </c>
      <c r="D50" s="43" t="str">
        <f aca="false">INDEX(Maos_por_spot!$I$5:$I$173,MATCH($B50,Maos_por_spot!$A$5:$A$173,0))</f>
        <v>Call</v>
      </c>
      <c r="E50" s="40" t="n">
        <f aca="false">INDEX(Folds_total!$C$5:$C$173,MATCH($B50,Folds_total!$A$5:$A$173,0))</f>
        <v>0</v>
      </c>
      <c r="F50" s="44" t="n">
        <f aca="false">IF(E50="","",E50*C50)</f>
        <v>0</v>
      </c>
      <c r="G50" s="9" t="str">
        <f aca="false">IF(E50="","",IF(AND(C50&gt;=0.8,E50&gt;=$D$4),"Revisar: o solver quase sempre defende",""))</f>
        <v/>
      </c>
      <c r="H50" s="45"/>
    </row>
    <row r="51" customFormat="false" ht="15" hidden="false" customHeight="true" outlineLevel="0" collapsed="false">
      <c r="A51" s="5" t="s">
        <v>39</v>
      </c>
      <c r="B51" s="9" t="s">
        <v>102</v>
      </c>
      <c r="C51" s="41" t="n">
        <f aca="false">INDEX(Maos_por_spot!$H$5:$H$173,MATCH($B51,Maos_por_spot!$A$5:$A$173,0))</f>
        <v>1</v>
      </c>
      <c r="D51" s="43" t="str">
        <f aca="false">INDEX(Maos_por_spot!$I$5:$I$173,MATCH($B51,Maos_por_spot!$A$5:$A$173,0))</f>
        <v>Call</v>
      </c>
      <c r="E51" s="40" t="n">
        <f aca="false">INDEX(Folds_total!$C$5:$C$173,MATCH($B51,Folds_total!$A$5:$A$173,0))</f>
        <v>0</v>
      </c>
      <c r="F51" s="44" t="n">
        <f aca="false">IF(E51="","",E51*C51)</f>
        <v>0</v>
      </c>
      <c r="G51" s="9" t="str">
        <f aca="false">IF(E51="","",IF(AND(C51&gt;=0.8,E51&gt;=$D$4),"Revisar: o solver quase sempre defende",""))</f>
        <v/>
      </c>
      <c r="H51" s="45"/>
    </row>
    <row r="52" customFormat="false" ht="15" hidden="false" customHeight="true" outlineLevel="0" collapsed="false">
      <c r="A52" s="5" t="s">
        <v>39</v>
      </c>
      <c r="B52" s="9" t="s">
        <v>103</v>
      </c>
      <c r="C52" s="41" t="n">
        <f aca="false">INDEX(Maos_por_spot!$H$5:$H$173,MATCH($B52,Maos_por_spot!$A$5:$A$173,0))</f>
        <v>1</v>
      </c>
      <c r="D52" s="43" t="str">
        <f aca="false">INDEX(Maos_por_spot!$I$5:$I$173,MATCH($B52,Maos_por_spot!$A$5:$A$173,0))</f>
        <v>Call</v>
      </c>
      <c r="E52" s="40" t="n">
        <f aca="false">INDEX(Folds_total!$C$5:$C$173,MATCH($B52,Folds_total!$A$5:$A$173,0))</f>
        <v>0</v>
      </c>
      <c r="F52" s="44" t="n">
        <f aca="false">IF(E52="","",E52*C52)</f>
        <v>0</v>
      </c>
      <c r="G52" s="9" t="str">
        <f aca="false">IF(E52="","",IF(AND(C52&gt;=0.8,E52&gt;=$D$4),"Revisar: o solver quase sempre defende",""))</f>
        <v/>
      </c>
      <c r="H52" s="45"/>
    </row>
    <row r="53" customFormat="false" ht="15" hidden="false" customHeight="true" outlineLevel="0" collapsed="false">
      <c r="A53" s="5" t="s">
        <v>39</v>
      </c>
      <c r="B53" s="9" t="s">
        <v>104</v>
      </c>
      <c r="C53" s="41" t="n">
        <f aca="false">INDEX(Maos_por_spot!$H$5:$H$173,MATCH($B53,Maos_por_spot!$A$5:$A$173,0))</f>
        <v>1</v>
      </c>
      <c r="D53" s="43" t="str">
        <f aca="false">INDEX(Maos_por_spot!$I$5:$I$173,MATCH($B53,Maos_por_spot!$A$5:$A$173,0))</f>
        <v>3bet</v>
      </c>
      <c r="E53" s="40" t="n">
        <f aca="false">INDEX(Folds_total!$C$5:$C$173,MATCH($B53,Folds_total!$A$5:$A$173,0))</f>
        <v>1</v>
      </c>
      <c r="F53" s="44" t="n">
        <f aca="false">IF(E53="","",E53*C53)</f>
        <v>1</v>
      </c>
      <c r="G53" s="9" t="str">
        <f aca="false">IF(E53="","",IF(AND(C53&gt;=0.8,E53&gt;=$D$4),"Revisar: o solver quase sempre defende",""))</f>
        <v/>
      </c>
      <c r="H53" s="45"/>
    </row>
    <row r="54" customFormat="false" ht="15" hidden="false" customHeight="true" outlineLevel="0" collapsed="false">
      <c r="A54" s="5" t="s">
        <v>39</v>
      </c>
      <c r="B54" s="9" t="s">
        <v>105</v>
      </c>
      <c r="C54" s="41" t="n">
        <f aca="false">INDEX(Maos_por_spot!$H$5:$H$173,MATCH($B54,Maos_por_spot!$A$5:$A$173,0))</f>
        <v>0.55</v>
      </c>
      <c r="D54" s="43" t="str">
        <f aca="false">INDEX(Maos_por_spot!$I$5:$I$173,MATCH($B54,Maos_por_spot!$A$5:$A$173,0))</f>
        <v>3bet</v>
      </c>
      <c r="E54" s="40" t="n">
        <f aca="false">INDEX(Folds_total!$C$5:$C$173,MATCH($B54,Folds_total!$A$5:$A$173,0))</f>
        <v>8</v>
      </c>
      <c r="F54" s="44" t="n">
        <f aca="false">IF(E54="","",E54*C54)</f>
        <v>4.4</v>
      </c>
      <c r="G54" s="9" t="str">
        <f aca="false">IF(E54="","",IF(AND(C54&gt;=0.8,E54&gt;=$D$4),"Revisar: o solver quase sempre defende",""))</f>
        <v/>
      </c>
      <c r="H54" s="45"/>
    </row>
    <row r="55" customFormat="false" ht="15" hidden="false" customHeight="true" outlineLevel="0" collapsed="false">
      <c r="A55" s="5" t="s">
        <v>39</v>
      </c>
      <c r="B55" s="9" t="s">
        <v>112</v>
      </c>
      <c r="C55" s="41" t="n">
        <f aca="false">INDEX(Maos_por_spot!$H$5:$H$173,MATCH($B55,Maos_por_spot!$A$5:$A$173,0))</f>
        <v>1</v>
      </c>
      <c r="D55" s="43" t="str">
        <f aca="false">INDEX(Maos_por_spot!$I$5:$I$173,MATCH($B55,Maos_por_spot!$A$5:$A$173,0))</f>
        <v>3bet/call</v>
      </c>
      <c r="E55" s="40" t="n">
        <f aca="false">INDEX(Folds_total!$C$5:$C$173,MATCH($B55,Folds_total!$A$5:$A$173,0))</f>
        <v>0</v>
      </c>
      <c r="F55" s="44" t="n">
        <f aca="false">IF(E55="","",E55*C55)</f>
        <v>0</v>
      </c>
      <c r="G55" s="9" t="str">
        <f aca="false">IF(E55="","",IF(AND(C55&gt;=0.8,E55&gt;=$D$4),"Revisar: o solver quase sempre defende",""))</f>
        <v/>
      </c>
      <c r="H55" s="45"/>
    </row>
    <row r="56" customFormat="false" ht="15" hidden="false" customHeight="true" outlineLevel="0" collapsed="false">
      <c r="A56" s="5" t="s">
        <v>39</v>
      </c>
      <c r="B56" s="9" t="s">
        <v>113</v>
      </c>
      <c r="C56" s="41" t="n">
        <f aca="false">INDEX(Maos_por_spot!$H$5:$H$173,MATCH($B56,Maos_por_spot!$A$5:$A$173,0))</f>
        <v>1</v>
      </c>
      <c r="D56" s="43" t="str">
        <f aca="false">INDEX(Maos_por_spot!$I$5:$I$173,MATCH($B56,Maos_por_spot!$A$5:$A$173,0))</f>
        <v>3bet/call</v>
      </c>
      <c r="E56" s="40" t="n">
        <f aca="false">INDEX(Folds_total!$C$5:$C$173,MATCH($B56,Folds_total!$A$5:$A$173,0))</f>
        <v>2</v>
      </c>
      <c r="F56" s="44" t="n">
        <f aca="false">IF(E56="","",E56*C56)</f>
        <v>2</v>
      </c>
      <c r="G56" s="9" t="str">
        <f aca="false">IF(E56="","",IF(AND(C56&gt;=0.8,E56&gt;=$D$4),"Revisar: o solver quase sempre defende",""))</f>
        <v/>
      </c>
      <c r="H56" s="45"/>
    </row>
    <row r="57" customFormat="false" ht="15" hidden="false" customHeight="true" outlineLevel="0" collapsed="false">
      <c r="A57" s="5" t="s">
        <v>39</v>
      </c>
      <c r="B57" s="9" t="s">
        <v>114</v>
      </c>
      <c r="C57" s="41" t="n">
        <f aca="false">INDEX(Maos_por_spot!$H$5:$H$173,MATCH($B57,Maos_por_spot!$A$5:$A$173,0))</f>
        <v>1</v>
      </c>
      <c r="D57" s="43" t="str">
        <f aca="false">INDEX(Maos_por_spot!$I$5:$I$173,MATCH($B57,Maos_por_spot!$A$5:$A$173,0))</f>
        <v>3bet</v>
      </c>
      <c r="E57" s="40" t="n">
        <f aca="false">INDEX(Folds_total!$C$5:$C$173,MATCH($B57,Folds_total!$A$5:$A$173,0))</f>
        <v>0</v>
      </c>
      <c r="F57" s="44" t="n">
        <f aca="false">IF(E57="","",E57*C57)</f>
        <v>0</v>
      </c>
      <c r="G57" s="9" t="str">
        <f aca="false">IF(E57="","",IF(AND(C57&gt;=0.8,E57&gt;=$D$4),"Revisar: o solver quase sempre defende",""))</f>
        <v/>
      </c>
      <c r="H57" s="45"/>
    </row>
    <row r="58" customFormat="false" ht="15" hidden="false" customHeight="true" outlineLevel="0" collapsed="false">
      <c r="A58" s="5" t="s">
        <v>39</v>
      </c>
      <c r="B58" s="9" t="s">
        <v>115</v>
      </c>
      <c r="C58" s="41" t="n">
        <f aca="false">INDEX(Maos_por_spot!$H$5:$H$173,MATCH($B58,Maos_por_spot!$A$5:$A$173,0))</f>
        <v>1</v>
      </c>
      <c r="D58" s="43" t="str">
        <f aca="false">INDEX(Maos_por_spot!$I$5:$I$173,MATCH($B58,Maos_por_spot!$A$5:$A$173,0))</f>
        <v>Call</v>
      </c>
      <c r="E58" s="40" t="n">
        <f aca="false">INDEX(Folds_total!$C$5:$C$173,MATCH($B58,Folds_total!$A$5:$A$173,0))</f>
        <v>1</v>
      </c>
      <c r="F58" s="44" t="n">
        <f aca="false">IF(E58="","",E58*C58)</f>
        <v>1</v>
      </c>
      <c r="G58" s="9" t="str">
        <f aca="false">IF(E58="","",IF(AND(C58&gt;=0.8,E58&gt;=$D$4),"Revisar: o solver quase sempre defende",""))</f>
        <v/>
      </c>
      <c r="H58" s="45"/>
    </row>
    <row r="59" customFormat="false" ht="15" hidden="false" customHeight="true" outlineLevel="0" collapsed="false">
      <c r="A59" s="5" t="s">
        <v>39</v>
      </c>
      <c r="B59" s="9" t="s">
        <v>116</v>
      </c>
      <c r="C59" s="41" t="n">
        <f aca="false">INDEX(Maos_por_spot!$H$5:$H$173,MATCH($B59,Maos_por_spot!$A$5:$A$173,0))</f>
        <v>1</v>
      </c>
      <c r="D59" s="43" t="str">
        <f aca="false">INDEX(Maos_por_spot!$I$5:$I$173,MATCH($B59,Maos_por_spot!$A$5:$A$173,0))</f>
        <v>Call</v>
      </c>
      <c r="E59" s="40" t="n">
        <f aca="false">INDEX(Folds_total!$C$5:$C$173,MATCH($B59,Folds_total!$A$5:$A$173,0))</f>
        <v>1</v>
      </c>
      <c r="F59" s="44" t="n">
        <f aca="false">IF(E59="","",E59*C59)</f>
        <v>1</v>
      </c>
      <c r="G59" s="9" t="str">
        <f aca="false">IF(E59="","",IF(AND(C59&gt;=0.8,E59&gt;=$D$4),"Revisar: o solver quase sempre defende",""))</f>
        <v/>
      </c>
      <c r="H59" s="45"/>
    </row>
    <row r="60" customFormat="false" ht="15" hidden="false" customHeight="true" outlineLevel="0" collapsed="false">
      <c r="A60" s="5" t="s">
        <v>39</v>
      </c>
      <c r="B60" s="9" t="s">
        <v>117</v>
      </c>
      <c r="C60" s="41" t="n">
        <f aca="false">INDEX(Maos_por_spot!$H$5:$H$173,MATCH($B60,Maos_por_spot!$A$5:$A$173,0))</f>
        <v>1</v>
      </c>
      <c r="D60" s="43" t="str">
        <f aca="false">INDEX(Maos_por_spot!$I$5:$I$173,MATCH($B60,Maos_por_spot!$A$5:$A$173,0))</f>
        <v>3bet</v>
      </c>
      <c r="E60" s="40" t="n">
        <f aca="false">INDEX(Folds_total!$C$5:$C$173,MATCH($B60,Folds_total!$A$5:$A$173,0))</f>
        <v>0</v>
      </c>
      <c r="F60" s="44" t="n">
        <f aca="false">IF(E60="","",E60*C60)</f>
        <v>0</v>
      </c>
      <c r="G60" s="9" t="str">
        <f aca="false">IF(E60="","",IF(AND(C60&gt;=0.8,E60&gt;=$D$4),"Revisar: o solver quase sempre defende",""))</f>
        <v/>
      </c>
      <c r="H60" s="45"/>
    </row>
    <row r="61" customFormat="false" ht="15" hidden="false" customHeight="true" outlineLevel="0" collapsed="false">
      <c r="A61" s="5" t="s">
        <v>39</v>
      </c>
      <c r="B61" s="9" t="s">
        <v>125</v>
      </c>
      <c r="C61" s="41" t="n">
        <f aca="false">INDEX(Maos_por_spot!$H$5:$H$173,MATCH($B61,Maos_por_spot!$A$5:$A$173,0))</f>
        <v>1</v>
      </c>
      <c r="D61" s="43" t="str">
        <f aca="false">INDEX(Maos_por_spot!$I$5:$I$173,MATCH($B61,Maos_por_spot!$A$5:$A$173,0))</f>
        <v>3bet/call</v>
      </c>
      <c r="E61" s="40" t="n">
        <f aca="false">INDEX(Folds_total!$C$5:$C$173,MATCH($B61,Folds_total!$A$5:$A$173,0))</f>
        <v>0</v>
      </c>
      <c r="F61" s="44" t="n">
        <f aca="false">IF(E61="","",E61*C61)</f>
        <v>0</v>
      </c>
      <c r="G61" s="9" t="str">
        <f aca="false">IF(E61="","",IF(AND(C61&gt;=0.8,E61&gt;=$D$4),"Revisar: o solver quase sempre defende",""))</f>
        <v/>
      </c>
      <c r="H61" s="45"/>
    </row>
    <row r="62" customFormat="false" ht="15" hidden="false" customHeight="true" outlineLevel="0" collapsed="false">
      <c r="A62" s="5" t="s">
        <v>39</v>
      </c>
      <c r="B62" s="9" t="s">
        <v>126</v>
      </c>
      <c r="C62" s="41" t="n">
        <f aca="false">INDEX(Maos_por_spot!$H$5:$H$173,MATCH($B62,Maos_por_spot!$A$5:$A$173,0))</f>
        <v>0.5</v>
      </c>
      <c r="D62" s="43" t="str">
        <f aca="false">INDEX(Maos_por_spot!$I$5:$I$173,MATCH($B62,Maos_por_spot!$A$5:$A$173,0))</f>
        <v>3bet/call</v>
      </c>
      <c r="E62" s="40" t="n">
        <f aca="false">INDEX(Folds_total!$C$5:$C$173,MATCH($B62,Folds_total!$A$5:$A$173,0))</f>
        <v>7</v>
      </c>
      <c r="F62" s="44" t="n">
        <f aca="false">IF(E62="","",E62*C62)</f>
        <v>3.5</v>
      </c>
      <c r="G62" s="9" t="str">
        <f aca="false">IF(E62="","",IF(AND(C62&gt;=0.8,E62&gt;=$D$4),"Revisar: o solver quase sempre defende",""))</f>
        <v/>
      </c>
      <c r="H62" s="45"/>
    </row>
    <row r="63" customFormat="false" ht="15" hidden="false" customHeight="true" outlineLevel="0" collapsed="false">
      <c r="A63" s="5" t="s">
        <v>39</v>
      </c>
      <c r="B63" s="9" t="s">
        <v>128</v>
      </c>
      <c r="C63" s="41" t="n">
        <f aca="false">INDEX(Maos_por_spot!$H$5:$H$173,MATCH($B63,Maos_por_spot!$A$5:$A$173,0))</f>
        <v>1</v>
      </c>
      <c r="D63" s="43" t="str">
        <f aca="false">INDEX(Maos_por_spot!$I$5:$I$173,MATCH($B63,Maos_por_spot!$A$5:$A$173,0))</f>
        <v>3bet</v>
      </c>
      <c r="E63" s="40" t="n">
        <f aca="false">INDEX(Folds_total!$C$5:$C$173,MATCH($B63,Folds_total!$A$5:$A$173,0))</f>
        <v>0</v>
      </c>
      <c r="F63" s="44" t="n">
        <f aca="false">IF(E63="","",E63*C63)</f>
        <v>0</v>
      </c>
      <c r="G63" s="9" t="str">
        <f aca="false">IF(E63="","",IF(AND(C63&gt;=0.8,E63&gt;=$D$4),"Revisar: o solver quase sempre defende",""))</f>
        <v/>
      </c>
      <c r="H63" s="45"/>
    </row>
    <row r="64" customFormat="false" ht="15" hidden="false" customHeight="true" outlineLevel="0" collapsed="false">
      <c r="A64" s="5" t="s">
        <v>39</v>
      </c>
      <c r="B64" s="9" t="s">
        <v>129</v>
      </c>
      <c r="C64" s="41" t="n">
        <f aca="false">INDEX(Maos_por_spot!$H$5:$H$173,MATCH($B64,Maos_por_spot!$A$5:$A$173,0))</f>
        <v>1</v>
      </c>
      <c r="D64" s="43" t="str">
        <f aca="false">INDEX(Maos_por_spot!$I$5:$I$173,MATCH($B64,Maos_por_spot!$A$5:$A$173,0))</f>
        <v>3bet/call</v>
      </c>
      <c r="E64" s="40" t="n">
        <f aca="false">INDEX(Folds_total!$C$5:$C$173,MATCH($B64,Folds_total!$A$5:$A$173,0))</f>
        <v>4</v>
      </c>
      <c r="F64" s="44" t="n">
        <f aca="false">IF(E64="","",E64*C64)</f>
        <v>4</v>
      </c>
      <c r="G64" s="9" t="str">
        <f aca="false">IF(E64="","",IF(AND(C64&gt;=0.8,E64&gt;=$D$4),"Revisar: o solver quase sempre defende",""))</f>
        <v/>
      </c>
      <c r="H64" s="45"/>
    </row>
    <row r="65" customFormat="false" ht="15" hidden="false" customHeight="true" outlineLevel="0" collapsed="false">
      <c r="A65" s="5" t="s">
        <v>39</v>
      </c>
      <c r="B65" s="9" t="s">
        <v>130</v>
      </c>
      <c r="C65" s="41" t="n">
        <f aca="false">INDEX(Maos_por_spot!$H$5:$H$173,MATCH($B65,Maos_por_spot!$A$5:$A$173,0))</f>
        <v>1</v>
      </c>
      <c r="D65" s="43" t="str">
        <f aca="false">INDEX(Maos_por_spot!$I$5:$I$173,MATCH($B65,Maos_por_spot!$A$5:$A$173,0))</f>
        <v>3bet/call</v>
      </c>
      <c r="E65" s="40" t="n">
        <f aca="false">INDEX(Folds_total!$C$5:$C$173,MATCH($B65,Folds_total!$A$5:$A$173,0))</f>
        <v>4</v>
      </c>
      <c r="F65" s="44" t="n">
        <f aca="false">IF(E65="","",E65*C65)</f>
        <v>4</v>
      </c>
      <c r="G65" s="9" t="str">
        <f aca="false">IF(E65="","",IF(AND(C65&gt;=0.8,E65&gt;=$D$4),"Revisar: o solver quase sempre defende",""))</f>
        <v/>
      </c>
      <c r="H65" s="45"/>
    </row>
    <row r="66" customFormat="false" ht="15" hidden="false" customHeight="true" outlineLevel="0" collapsed="false">
      <c r="A66" s="5" t="s">
        <v>39</v>
      </c>
      <c r="B66" s="9" t="s">
        <v>138</v>
      </c>
      <c r="C66" s="41" t="n">
        <f aca="false">INDEX(Maos_por_spot!$H$5:$H$173,MATCH($B66,Maos_por_spot!$A$5:$A$173,0))</f>
        <v>1</v>
      </c>
      <c r="D66" s="43" t="str">
        <f aca="false">INDEX(Maos_por_spot!$I$5:$I$173,MATCH($B66,Maos_por_spot!$A$5:$A$173,0))</f>
        <v>3bet/call</v>
      </c>
      <c r="E66" s="40" t="n">
        <f aca="false">INDEX(Folds_total!$C$5:$C$173,MATCH($B66,Folds_total!$A$5:$A$173,0))</f>
        <v>2</v>
      </c>
      <c r="F66" s="44" t="n">
        <f aca="false">IF(E66="","",E66*C66)</f>
        <v>2</v>
      </c>
      <c r="G66" s="9" t="str">
        <f aca="false">IF(E66="","",IF(AND(C66&gt;=0.8,E66&gt;=$D$4),"Revisar: o solver quase sempre defende",""))</f>
        <v/>
      </c>
      <c r="H66" s="45"/>
    </row>
    <row r="67" customFormat="false" ht="15" hidden="false" customHeight="true" outlineLevel="0" collapsed="false">
      <c r="A67" s="5" t="s">
        <v>39</v>
      </c>
      <c r="B67" s="9" t="s">
        <v>142</v>
      </c>
      <c r="C67" s="41" t="n">
        <f aca="false">INDEX(Maos_por_spot!$H$5:$H$173,MATCH($B67,Maos_por_spot!$A$5:$A$173,0))</f>
        <v>1</v>
      </c>
      <c r="D67" s="43" t="str">
        <f aca="false">INDEX(Maos_por_spot!$I$5:$I$173,MATCH($B67,Maos_por_spot!$A$5:$A$173,0))</f>
        <v>3bet/call</v>
      </c>
      <c r="E67" s="40" t="n">
        <f aca="false">INDEX(Folds_total!$C$5:$C$173,MATCH($B67,Folds_total!$A$5:$A$173,0))</f>
        <v>0</v>
      </c>
      <c r="F67" s="44" t="n">
        <f aca="false">IF(E67="","",E67*C67)</f>
        <v>0</v>
      </c>
      <c r="G67" s="9" t="str">
        <f aca="false">IF(E67="","",IF(AND(C67&gt;=0.8,E67&gt;=$D$4),"Revisar: o solver quase sempre defende",""))</f>
        <v/>
      </c>
      <c r="H67" s="45"/>
    </row>
    <row r="68" customFormat="false" ht="15" hidden="false" customHeight="true" outlineLevel="0" collapsed="false">
      <c r="A68" s="5" t="s">
        <v>39</v>
      </c>
      <c r="B68" s="9" t="s">
        <v>143</v>
      </c>
      <c r="C68" s="41" t="n">
        <f aca="false">INDEX(Maos_por_spot!$H$5:$H$173,MATCH($B68,Maos_por_spot!$A$5:$A$173,0))</f>
        <v>1</v>
      </c>
      <c r="D68" s="43" t="str">
        <f aca="false">INDEX(Maos_por_spot!$I$5:$I$173,MATCH($B68,Maos_por_spot!$A$5:$A$173,0))</f>
        <v>3bet/call</v>
      </c>
      <c r="E68" s="40" t="n">
        <f aca="false">INDEX(Folds_total!$C$5:$C$173,MATCH($B68,Folds_total!$A$5:$A$173,0))</f>
        <v>0</v>
      </c>
      <c r="F68" s="44" t="n">
        <f aca="false">IF(E68="","",E68*C68)</f>
        <v>0</v>
      </c>
      <c r="G68" s="9" t="str">
        <f aca="false">IF(E68="","",IF(AND(C68&gt;=0.8,E68&gt;=$D$4),"Revisar: o solver quase sempre defende",""))</f>
        <v/>
      </c>
      <c r="H68" s="45"/>
    </row>
    <row r="69" customFormat="false" ht="15" hidden="false" customHeight="true" outlineLevel="0" collapsed="false">
      <c r="A69" s="5" t="s">
        <v>39</v>
      </c>
      <c r="B69" s="9" t="s">
        <v>144</v>
      </c>
      <c r="C69" s="41" t="n">
        <f aca="false">INDEX(Maos_por_spot!$H$5:$H$173,MATCH($B69,Maos_por_spot!$A$5:$A$173,0))</f>
        <v>0.45</v>
      </c>
      <c r="D69" s="43" t="str">
        <f aca="false">INDEX(Maos_por_spot!$I$5:$I$173,MATCH($B69,Maos_por_spot!$A$5:$A$173,0))</f>
        <v>3bet</v>
      </c>
      <c r="E69" s="40" t="n">
        <f aca="false">INDEX(Folds_total!$C$5:$C$173,MATCH($B69,Folds_total!$A$5:$A$173,0))</f>
        <v>5</v>
      </c>
      <c r="F69" s="44" t="n">
        <f aca="false">IF(E69="","",E69*C69)</f>
        <v>2.25</v>
      </c>
      <c r="G69" s="9" t="str">
        <f aca="false">IF(E69="","",IF(AND(C69&gt;=0.8,E69&gt;=$D$4),"Revisar: o solver quase sempre defende",""))</f>
        <v/>
      </c>
      <c r="H69" s="45"/>
    </row>
    <row r="70" customFormat="false" ht="15" hidden="false" customHeight="true" outlineLevel="0" collapsed="false">
      <c r="A70" s="5" t="s">
        <v>39</v>
      </c>
      <c r="B70" s="9" t="s">
        <v>156</v>
      </c>
      <c r="C70" s="41" t="n">
        <f aca="false">INDEX(Maos_por_spot!$H$5:$H$173,MATCH($B70,Maos_por_spot!$A$5:$A$173,0))</f>
        <v>1</v>
      </c>
      <c r="D70" s="43" t="str">
        <f aca="false">INDEX(Maos_por_spot!$I$5:$I$173,MATCH($B70,Maos_por_spot!$A$5:$A$173,0))</f>
        <v>3bet/call</v>
      </c>
      <c r="E70" s="40" t="n">
        <f aca="false">INDEX(Folds_total!$C$5:$C$173,MATCH($B70,Folds_total!$A$5:$A$173,0))</f>
        <v>0</v>
      </c>
      <c r="F70" s="44" t="n">
        <f aca="false">IF(E70="","",E70*C70)</f>
        <v>0</v>
      </c>
      <c r="G70" s="9" t="str">
        <f aca="false">IF(E70="","",IF(AND(C70&gt;=0.8,E70&gt;=$D$4),"Revisar: o solver quase sempre defende",""))</f>
        <v/>
      </c>
      <c r="H70" s="45"/>
    </row>
    <row r="71" customFormat="false" ht="15" hidden="false" customHeight="true" outlineLevel="0" collapsed="false">
      <c r="A71" s="5" t="s">
        <v>39</v>
      </c>
      <c r="B71" s="9" t="s">
        <v>157</v>
      </c>
      <c r="C71" s="41" t="n">
        <f aca="false">INDEX(Maos_por_spot!$H$5:$H$173,MATCH($B71,Maos_por_spot!$A$5:$A$173,0))</f>
        <v>1</v>
      </c>
      <c r="D71" s="43" t="str">
        <f aca="false">INDEX(Maos_por_spot!$I$5:$I$173,MATCH($B71,Maos_por_spot!$A$5:$A$173,0))</f>
        <v>3bet/call</v>
      </c>
      <c r="E71" s="40" t="n">
        <f aca="false">INDEX(Folds_total!$C$5:$C$173,MATCH($B71,Folds_total!$A$5:$A$173,0))</f>
        <v>2</v>
      </c>
      <c r="F71" s="44" t="n">
        <f aca="false">IF(E71="","",E71*C71)</f>
        <v>2</v>
      </c>
      <c r="G71" s="9" t="str">
        <f aca="false">IF(E71="","",IF(AND(C71&gt;=0.8,E71&gt;=$D$4),"Revisar: o solver quase sempre defende",""))</f>
        <v/>
      </c>
      <c r="H71" s="45"/>
    </row>
    <row r="72" customFormat="false" ht="15" hidden="false" customHeight="true" outlineLevel="0" collapsed="false">
      <c r="A72" s="5" t="s">
        <v>39</v>
      </c>
      <c r="B72" s="9" t="s">
        <v>170</v>
      </c>
      <c r="C72" s="41" t="n">
        <f aca="false">INDEX(Maos_por_spot!$H$5:$H$173,MATCH($B72,Maos_por_spot!$A$5:$A$173,0))</f>
        <v>1</v>
      </c>
      <c r="D72" s="43" t="str">
        <f aca="false">INDEX(Maos_por_spot!$I$5:$I$173,MATCH($B72,Maos_por_spot!$A$5:$A$173,0))</f>
        <v>3bet/call</v>
      </c>
      <c r="E72" s="40" t="n">
        <f aca="false">INDEX(Folds_total!$C$5:$C$173,MATCH($B72,Folds_total!$A$5:$A$173,0))</f>
        <v>0</v>
      </c>
      <c r="F72" s="44" t="n">
        <f aca="false">IF(E72="","",E72*C72)</f>
        <v>0</v>
      </c>
      <c r="G72" s="9" t="str">
        <f aca="false">IF(E72="","",IF(AND(C72&gt;=0.8,E72&gt;=$D$4),"Revisar: o solver quase sempre defende",""))</f>
        <v/>
      </c>
      <c r="H72" s="45"/>
    </row>
    <row r="73" customFormat="false" ht="15" hidden="false" customHeight="true" outlineLevel="0" collapsed="false">
      <c r="A73" s="5" t="s">
        <v>39</v>
      </c>
      <c r="B73" s="9" t="s">
        <v>184</v>
      </c>
      <c r="C73" s="41" t="n">
        <f aca="false">INDEX(Maos_por_spot!$H$5:$H$173,MATCH($B73,Maos_por_spot!$A$5:$A$173,0))</f>
        <v>1</v>
      </c>
      <c r="D73" s="43" t="str">
        <f aca="false">INDEX(Maos_por_spot!$I$5:$I$173,MATCH($B73,Maos_por_spot!$A$5:$A$173,0))</f>
        <v>Call</v>
      </c>
      <c r="E73" s="40" t="n">
        <f aca="false">INDEX(Folds_total!$C$5:$C$173,MATCH($B73,Folds_total!$A$5:$A$173,0))</f>
        <v>0</v>
      </c>
      <c r="F73" s="44" t="n">
        <f aca="false">IF(E73="","",E73*C73)</f>
        <v>0</v>
      </c>
      <c r="G73" s="9" t="str">
        <f aca="false">IF(E73="","",IF(AND(C73&gt;=0.8,E73&gt;=$D$4),"Revisar: o solver quase sempre defende",""))</f>
        <v/>
      </c>
      <c r="H73" s="45"/>
    </row>
    <row r="74" customFormat="false" ht="15" hidden="false" customHeight="true" outlineLevel="0" collapsed="false">
      <c r="A74" s="5" t="s">
        <v>39</v>
      </c>
      <c r="B74" s="9" t="s">
        <v>198</v>
      </c>
      <c r="C74" s="41" t="n">
        <f aca="false">INDEX(Maos_por_spot!$H$5:$H$173,MATCH($B74,Maos_por_spot!$A$5:$A$173,0))</f>
        <v>1</v>
      </c>
      <c r="D74" s="43" t="str">
        <f aca="false">INDEX(Maos_por_spot!$I$5:$I$173,MATCH($B74,Maos_por_spot!$A$5:$A$173,0))</f>
        <v>Call</v>
      </c>
      <c r="E74" s="40" t="n">
        <f aca="false">INDEX(Folds_total!$C$5:$C$173,MATCH($B74,Folds_total!$A$5:$A$173,0))</f>
        <v>1</v>
      </c>
      <c r="F74" s="44" t="n">
        <f aca="false">IF(E74="","",E74*C74)</f>
        <v>1</v>
      </c>
      <c r="G74" s="9" t="str">
        <f aca="false">IF(E74="","",IF(AND(C74&gt;=0.8,E74&gt;=$D$4),"Revisar: o solver quase sempre defende",""))</f>
        <v/>
      </c>
      <c r="H74" s="45"/>
    </row>
    <row r="75" customFormat="false" ht="15" hidden="false" customHeight="true" outlineLevel="0" collapsed="false">
      <c r="A75" s="5" t="s">
        <v>39</v>
      </c>
      <c r="B75" s="9" t="s">
        <v>212</v>
      </c>
      <c r="C75" s="41" t="n">
        <f aca="false">INDEX(Maos_por_spot!$H$5:$H$173,MATCH($B75,Maos_por_spot!$A$5:$A$173,0))</f>
        <v>1</v>
      </c>
      <c r="D75" s="43" t="str">
        <f aca="false">INDEX(Maos_por_spot!$I$5:$I$173,MATCH($B75,Maos_por_spot!$A$5:$A$173,0))</f>
        <v>Call</v>
      </c>
      <c r="E75" s="40" t="n">
        <f aca="false">INDEX(Folds_total!$C$5:$C$173,MATCH($B75,Folds_total!$A$5:$A$173,0))</f>
        <v>1</v>
      </c>
      <c r="F75" s="44" t="n">
        <f aca="false">IF(E75="","",E75*C75)</f>
        <v>1</v>
      </c>
      <c r="G75" s="9" t="str">
        <f aca="false">IF(E75="","",IF(AND(C75&gt;=0.8,E75&gt;=$D$4),"Revisar: o solver quase sempre defende",""))</f>
        <v/>
      </c>
      <c r="H75" s="45"/>
    </row>
    <row r="76" customFormat="false" ht="15" hidden="false" customHeight="true" outlineLevel="0" collapsed="false">
      <c r="A76" s="5" t="s">
        <v>39</v>
      </c>
      <c r="B76" s="9" t="s">
        <v>226</v>
      </c>
      <c r="C76" s="41" t="n">
        <f aca="false">INDEX(Maos_por_spot!$H$5:$H$173,MATCH($B76,Maos_por_spot!$A$5:$A$173,0))</f>
        <v>0.4</v>
      </c>
      <c r="D76" s="43" t="str">
        <f aca="false">INDEX(Maos_por_spot!$I$5:$I$173,MATCH($B76,Maos_por_spot!$A$5:$A$173,0))</f>
        <v>Call</v>
      </c>
      <c r="E76" s="40" t="n">
        <f aca="false">INDEX(Folds_total!$C$5:$C$173,MATCH($B76,Folds_total!$A$5:$A$173,0))</f>
        <v>7</v>
      </c>
      <c r="F76" s="44" t="n">
        <f aca="false">IF(E76="","",E76*C76)</f>
        <v>2.8</v>
      </c>
      <c r="G76" s="9" t="str">
        <f aca="false">IF(E76="","",IF(AND(C76&gt;=0.8,E76&gt;=$D$4),"Revisar: o solver quase sempre defende",""))</f>
        <v/>
      </c>
      <c r="H76" s="45"/>
    </row>
    <row r="77" customFormat="false" ht="15" hidden="false" customHeight="true" outlineLevel="0" collapsed="false">
      <c r="A77" s="5" t="s">
        <v>40</v>
      </c>
      <c r="B77" s="9" t="s">
        <v>86</v>
      </c>
      <c r="C77" s="41" t="n">
        <f aca="false">INDEX(Maos_por_spot!$L$5:$L$173,MATCH($B77,Maos_por_spot!$A$5:$A$173,0))</f>
        <v>1</v>
      </c>
      <c r="D77" s="43" t="str">
        <f aca="false">INDEX(Maos_por_spot!$M$5:$M$173,MATCH($B77,Maos_por_spot!$A$5:$A$173,0))</f>
        <v>3bet</v>
      </c>
      <c r="E77" s="40" t="n">
        <f aca="false">INDEX(Folds_total!$D$5:$D$173,MATCH($B77,Folds_total!$A$5:$A$173,0))</f>
        <v>0</v>
      </c>
      <c r="F77" s="44" t="n">
        <f aca="false">IF(E77="","",E77*C77)</f>
        <v>0</v>
      </c>
      <c r="G77" s="9" t="str">
        <f aca="false">IF(E77="","",IF(AND(C77&gt;=0.8,E77&gt;=$D$4),"Revisar: o solver quase sempre defende",""))</f>
        <v/>
      </c>
      <c r="H77" s="45"/>
    </row>
    <row r="78" customFormat="false" ht="15" hidden="false" customHeight="true" outlineLevel="0" collapsed="false">
      <c r="A78" s="5" t="s">
        <v>40</v>
      </c>
      <c r="B78" s="9" t="s">
        <v>87</v>
      </c>
      <c r="C78" s="41" t="n">
        <f aca="false">INDEX(Maos_por_spot!$L$5:$L$173,MATCH($B78,Maos_por_spot!$A$5:$A$173,0))</f>
        <v>1</v>
      </c>
      <c r="D78" s="43" t="str">
        <f aca="false">INDEX(Maos_por_spot!$M$5:$M$173,MATCH($B78,Maos_por_spot!$A$5:$A$173,0))</f>
        <v>3bet</v>
      </c>
      <c r="E78" s="40" t="n">
        <f aca="false">INDEX(Folds_total!$D$5:$D$173,MATCH($B78,Folds_total!$A$5:$A$173,0))</f>
        <v>0</v>
      </c>
      <c r="F78" s="44" t="n">
        <f aca="false">IF(E78="","",E78*C78)</f>
        <v>0</v>
      </c>
      <c r="G78" s="9" t="str">
        <f aca="false">IF(E78="","",IF(AND(C78&gt;=0.8,E78&gt;=$D$4),"Revisar: o solver quase sempre defende",""))</f>
        <v/>
      </c>
      <c r="H78" s="45"/>
    </row>
    <row r="79" customFormat="false" ht="15" hidden="false" customHeight="true" outlineLevel="0" collapsed="false">
      <c r="A79" s="5" t="s">
        <v>40</v>
      </c>
      <c r="B79" s="9" t="s">
        <v>88</v>
      </c>
      <c r="C79" s="41" t="n">
        <f aca="false">INDEX(Maos_por_spot!$L$5:$L$173,MATCH($B79,Maos_por_spot!$A$5:$A$173,0))</f>
        <v>1</v>
      </c>
      <c r="D79" s="43" t="str">
        <f aca="false">INDEX(Maos_por_spot!$M$5:$M$173,MATCH($B79,Maos_por_spot!$A$5:$A$173,0))</f>
        <v>3bet</v>
      </c>
      <c r="E79" s="40" t="n">
        <f aca="false">INDEX(Folds_total!$D$5:$D$173,MATCH($B79,Folds_total!$A$5:$A$173,0))</f>
        <v>0</v>
      </c>
      <c r="F79" s="44" t="n">
        <f aca="false">IF(E79="","",E79*C79)</f>
        <v>0</v>
      </c>
      <c r="G79" s="9" t="str">
        <f aca="false">IF(E79="","",IF(AND(C79&gt;=0.8,E79&gt;=$D$4),"Revisar: o solver quase sempre defende",""))</f>
        <v/>
      </c>
      <c r="H79" s="45"/>
    </row>
    <row r="80" customFormat="false" ht="15" hidden="false" customHeight="true" outlineLevel="0" collapsed="false">
      <c r="A80" s="5" t="s">
        <v>40</v>
      </c>
      <c r="B80" s="9" t="s">
        <v>89</v>
      </c>
      <c r="C80" s="41" t="n">
        <f aca="false">INDEX(Maos_por_spot!$L$5:$L$173,MATCH($B80,Maos_por_spot!$A$5:$A$173,0))</f>
        <v>1</v>
      </c>
      <c r="D80" s="43" t="str">
        <f aca="false">INDEX(Maos_por_spot!$M$5:$M$173,MATCH($B80,Maos_por_spot!$A$5:$A$173,0))</f>
        <v>Call</v>
      </c>
      <c r="E80" s="40" t="n">
        <f aca="false">INDEX(Folds_total!$D$5:$D$173,MATCH($B80,Folds_total!$A$5:$A$173,0))</f>
        <v>0</v>
      </c>
      <c r="F80" s="44" t="n">
        <f aca="false">IF(E80="","",E80*C80)</f>
        <v>0</v>
      </c>
      <c r="G80" s="9" t="str">
        <f aca="false">IF(E80="","",IF(AND(C80&gt;=0.8,E80&gt;=$D$4),"Revisar: o solver quase sempre defende",""))</f>
        <v/>
      </c>
      <c r="H80" s="45"/>
    </row>
    <row r="81" customFormat="false" ht="15" hidden="false" customHeight="true" outlineLevel="0" collapsed="false">
      <c r="A81" s="5" t="s">
        <v>40</v>
      </c>
      <c r="B81" s="9" t="s">
        <v>90</v>
      </c>
      <c r="C81" s="41" t="n">
        <f aca="false">INDEX(Maos_por_spot!$L$5:$L$173,MATCH($B81,Maos_por_spot!$A$5:$A$173,0))</f>
        <v>1</v>
      </c>
      <c r="D81" s="43" t="str">
        <f aca="false">INDEX(Maos_por_spot!$M$5:$M$173,MATCH($B81,Maos_por_spot!$A$5:$A$173,0))</f>
        <v>Call</v>
      </c>
      <c r="E81" s="40" t="n">
        <f aca="false">INDEX(Folds_total!$D$5:$D$173,MATCH($B81,Folds_total!$A$5:$A$173,0))</f>
        <v>0</v>
      </c>
      <c r="F81" s="44" t="n">
        <f aca="false">IF(E81="","",E81*C81)</f>
        <v>0</v>
      </c>
      <c r="G81" s="9" t="str">
        <f aca="false">IF(E81="","",IF(AND(C81&gt;=0.8,E81&gt;=$D$4),"Revisar: o solver quase sempre defende",""))</f>
        <v/>
      </c>
      <c r="H81" s="45"/>
    </row>
    <row r="82" customFormat="false" ht="15" hidden="false" customHeight="true" outlineLevel="0" collapsed="false">
      <c r="A82" s="5" t="s">
        <v>40</v>
      </c>
      <c r="B82" s="9" t="s">
        <v>91</v>
      </c>
      <c r="C82" s="41" t="n">
        <f aca="false">INDEX(Maos_por_spot!$L$5:$L$173,MATCH($B82,Maos_por_spot!$A$5:$A$173,0))</f>
        <v>1</v>
      </c>
      <c r="D82" s="43" t="str">
        <f aca="false">INDEX(Maos_por_spot!$M$5:$M$173,MATCH($B82,Maos_por_spot!$A$5:$A$173,0))</f>
        <v>Call</v>
      </c>
      <c r="E82" s="40" t="n">
        <f aca="false">INDEX(Folds_total!$D$5:$D$173,MATCH($B82,Folds_total!$A$5:$A$173,0))</f>
        <v>1</v>
      </c>
      <c r="F82" s="44" t="n">
        <f aca="false">IF(E82="","",E82*C82)</f>
        <v>1</v>
      </c>
      <c r="G82" s="9" t="str">
        <f aca="false">IF(E82="","",IF(AND(C82&gt;=0.8,E82&gt;=$D$4),"Revisar: o solver quase sempre defende",""))</f>
        <v/>
      </c>
      <c r="H82" s="45"/>
    </row>
    <row r="83" customFormat="false" ht="15" hidden="false" customHeight="true" outlineLevel="0" collapsed="false">
      <c r="A83" s="5" t="s">
        <v>40</v>
      </c>
      <c r="B83" s="9" t="s">
        <v>92</v>
      </c>
      <c r="C83" s="41" t="n">
        <f aca="false">INDEX(Maos_por_spot!$L$5:$L$173,MATCH($B83,Maos_por_spot!$A$5:$A$173,0))</f>
        <v>1</v>
      </c>
      <c r="D83" s="43" t="str">
        <f aca="false">INDEX(Maos_por_spot!$M$5:$M$173,MATCH($B83,Maos_por_spot!$A$5:$A$173,0))</f>
        <v>Call</v>
      </c>
      <c r="E83" s="40" t="n">
        <f aca="false">INDEX(Folds_total!$D$5:$D$173,MATCH($B83,Folds_total!$A$5:$A$173,0))</f>
        <v>0</v>
      </c>
      <c r="F83" s="44" t="n">
        <f aca="false">IF(E83="","",E83*C83)</f>
        <v>0</v>
      </c>
      <c r="G83" s="9" t="str">
        <f aca="false">IF(E83="","",IF(AND(C83&gt;=0.8,E83&gt;=$D$4),"Revisar: o solver quase sempre defende",""))</f>
        <v/>
      </c>
      <c r="H83" s="45"/>
    </row>
    <row r="84" customFormat="false" ht="15" hidden="false" customHeight="true" outlineLevel="0" collapsed="false">
      <c r="A84" s="5" t="s">
        <v>40</v>
      </c>
      <c r="B84" s="9" t="s">
        <v>93</v>
      </c>
      <c r="C84" s="41" t="n">
        <f aca="false">INDEX(Maos_por_spot!$L$5:$L$173,MATCH($B84,Maos_por_spot!$A$5:$A$173,0))</f>
        <v>1</v>
      </c>
      <c r="D84" s="43" t="str">
        <f aca="false">INDEX(Maos_por_spot!$M$5:$M$173,MATCH($B84,Maos_por_spot!$A$5:$A$173,0))</f>
        <v>Call</v>
      </c>
      <c r="E84" s="40" t="n">
        <f aca="false">INDEX(Folds_total!$D$5:$D$173,MATCH($B84,Folds_total!$A$5:$A$173,0))</f>
        <v>0</v>
      </c>
      <c r="F84" s="44" t="n">
        <f aca="false">IF(E84="","",E84*C84)</f>
        <v>0</v>
      </c>
      <c r="G84" s="9" t="str">
        <f aca="false">IF(E84="","",IF(AND(C84&gt;=0.8,E84&gt;=$D$4),"Revisar: o solver quase sempre defende",""))</f>
        <v/>
      </c>
      <c r="H84" s="45"/>
    </row>
    <row r="85" customFormat="false" ht="15" hidden="false" customHeight="true" outlineLevel="0" collapsed="false">
      <c r="A85" s="5" t="s">
        <v>40</v>
      </c>
      <c r="B85" s="9" t="s">
        <v>94</v>
      </c>
      <c r="C85" s="41" t="n">
        <f aca="false">INDEX(Maos_por_spot!$L$5:$L$173,MATCH($B85,Maos_por_spot!$A$5:$A$173,0))</f>
        <v>1</v>
      </c>
      <c r="D85" s="43" t="str">
        <f aca="false">INDEX(Maos_por_spot!$M$5:$M$173,MATCH($B85,Maos_por_spot!$A$5:$A$173,0))</f>
        <v>3bet/call</v>
      </c>
      <c r="E85" s="40" t="n">
        <f aca="false">INDEX(Folds_total!$D$5:$D$173,MATCH($B85,Folds_total!$A$5:$A$173,0))</f>
        <v>0</v>
      </c>
      <c r="F85" s="44" t="n">
        <f aca="false">IF(E85="","",E85*C85)</f>
        <v>0</v>
      </c>
      <c r="G85" s="9" t="str">
        <f aca="false">IF(E85="","",IF(AND(C85&gt;=0.8,E85&gt;=$D$4),"Revisar: o solver quase sempre defende",""))</f>
        <v/>
      </c>
      <c r="H85" s="45"/>
    </row>
    <row r="86" customFormat="false" ht="15" hidden="false" customHeight="true" outlineLevel="0" collapsed="false">
      <c r="A86" s="5" t="s">
        <v>40</v>
      </c>
      <c r="B86" s="9" t="s">
        <v>95</v>
      </c>
      <c r="C86" s="41" t="n">
        <f aca="false">INDEX(Maos_por_spot!$L$5:$L$173,MATCH($B86,Maos_por_spot!$A$5:$A$173,0))</f>
        <v>1</v>
      </c>
      <c r="D86" s="43" t="str">
        <f aca="false">INDEX(Maos_por_spot!$M$5:$M$173,MATCH($B86,Maos_por_spot!$A$5:$A$173,0))</f>
        <v>Call</v>
      </c>
      <c r="E86" s="40" t="n">
        <f aca="false">INDEX(Folds_total!$D$5:$D$173,MATCH($B86,Folds_total!$A$5:$A$173,0))</f>
        <v>1</v>
      </c>
      <c r="F86" s="44" t="n">
        <f aca="false">IF(E86="","",E86*C86)</f>
        <v>1</v>
      </c>
      <c r="G86" s="9" t="str">
        <f aca="false">IF(E86="","",IF(AND(C86&gt;=0.8,E86&gt;=$D$4),"Revisar: o solver quase sempre defende",""))</f>
        <v/>
      </c>
      <c r="H86" s="45"/>
    </row>
    <row r="87" customFormat="false" ht="15" hidden="false" customHeight="true" outlineLevel="0" collapsed="false">
      <c r="A87" s="5" t="s">
        <v>40</v>
      </c>
      <c r="B87" s="9" t="s">
        <v>96</v>
      </c>
      <c r="C87" s="41" t="n">
        <f aca="false">INDEX(Maos_por_spot!$L$5:$L$173,MATCH($B87,Maos_por_spot!$A$5:$A$173,0))</f>
        <v>1</v>
      </c>
      <c r="D87" s="43" t="str">
        <f aca="false">INDEX(Maos_por_spot!$M$5:$M$173,MATCH($B87,Maos_por_spot!$A$5:$A$173,0))</f>
        <v>3bet/call</v>
      </c>
      <c r="E87" s="40" t="n">
        <f aca="false">INDEX(Folds_total!$D$5:$D$173,MATCH($B87,Folds_total!$A$5:$A$173,0))</f>
        <v>1</v>
      </c>
      <c r="F87" s="44" t="n">
        <f aca="false">IF(E87="","",E87*C87)</f>
        <v>1</v>
      </c>
      <c r="G87" s="9" t="str">
        <f aca="false">IF(E87="","",IF(AND(C87&gt;=0.8,E87&gt;=$D$4),"Revisar: o solver quase sempre defende",""))</f>
        <v/>
      </c>
      <c r="H87" s="45"/>
    </row>
    <row r="88" customFormat="false" ht="15" hidden="false" customHeight="true" outlineLevel="0" collapsed="false">
      <c r="A88" s="5" t="s">
        <v>40</v>
      </c>
      <c r="B88" s="9" t="s">
        <v>97</v>
      </c>
      <c r="C88" s="41" t="n">
        <f aca="false">INDEX(Maos_por_spot!$L$5:$L$173,MATCH($B88,Maos_por_spot!$A$5:$A$173,0))</f>
        <v>1</v>
      </c>
      <c r="D88" s="43" t="str">
        <f aca="false">INDEX(Maos_por_spot!$M$5:$M$173,MATCH($B88,Maos_por_spot!$A$5:$A$173,0))</f>
        <v>3bet/call</v>
      </c>
      <c r="E88" s="40" t="n">
        <f aca="false">INDEX(Folds_total!$D$5:$D$173,MATCH($B88,Folds_total!$A$5:$A$173,0))</f>
        <v>1</v>
      </c>
      <c r="F88" s="44" t="n">
        <f aca="false">IF(E88="","",E88*C88)</f>
        <v>1</v>
      </c>
      <c r="G88" s="9" t="str">
        <f aca="false">IF(E88="","",IF(AND(C88&gt;=0.8,E88&gt;=$D$4),"Revisar: o solver quase sempre defende",""))</f>
        <v/>
      </c>
      <c r="H88" s="45"/>
    </row>
    <row r="89" customFormat="false" ht="15" hidden="false" customHeight="true" outlineLevel="0" collapsed="false">
      <c r="A89" s="5" t="s">
        <v>40</v>
      </c>
      <c r="B89" s="9" t="s">
        <v>98</v>
      </c>
      <c r="C89" s="41" t="n">
        <f aca="false">INDEX(Maos_por_spot!$L$5:$L$173,MATCH($B89,Maos_por_spot!$A$5:$A$173,0))</f>
        <v>1</v>
      </c>
      <c r="D89" s="43" t="str">
        <f aca="false">INDEX(Maos_por_spot!$M$5:$M$173,MATCH($B89,Maos_por_spot!$A$5:$A$173,0))</f>
        <v>3bet/call</v>
      </c>
      <c r="E89" s="40" t="n">
        <f aca="false">INDEX(Folds_total!$D$5:$D$173,MATCH($B89,Folds_total!$A$5:$A$173,0))</f>
        <v>4</v>
      </c>
      <c r="F89" s="44" t="n">
        <f aca="false">IF(E89="","",E89*C89)</f>
        <v>4</v>
      </c>
      <c r="G89" s="9" t="str">
        <f aca="false">IF(E89="","",IF(AND(C89&gt;=0.8,E89&gt;=$D$4),"Revisar: o solver quase sempre defende",""))</f>
        <v/>
      </c>
      <c r="H89" s="45"/>
    </row>
    <row r="90" customFormat="false" ht="15" hidden="false" customHeight="true" outlineLevel="0" collapsed="false">
      <c r="A90" s="5" t="s">
        <v>40</v>
      </c>
      <c r="B90" s="9" t="s">
        <v>99</v>
      </c>
      <c r="C90" s="41" t="n">
        <f aca="false">INDEX(Maos_por_spot!$L$5:$L$173,MATCH($B90,Maos_por_spot!$A$5:$A$173,0))</f>
        <v>1</v>
      </c>
      <c r="D90" s="43" t="str">
        <f aca="false">INDEX(Maos_por_spot!$M$5:$M$173,MATCH($B90,Maos_por_spot!$A$5:$A$173,0))</f>
        <v>3bet</v>
      </c>
      <c r="E90" s="40" t="n">
        <f aca="false">INDEX(Folds_total!$D$5:$D$173,MATCH($B90,Folds_total!$A$5:$A$173,0))</f>
        <v>0</v>
      </c>
      <c r="F90" s="44" t="n">
        <f aca="false">IF(E90="","",E90*C90)</f>
        <v>0</v>
      </c>
      <c r="G90" s="9" t="str">
        <f aca="false">IF(E90="","",IF(AND(C90&gt;=0.8,E90&gt;=$D$4),"Revisar: o solver quase sempre defende",""))</f>
        <v/>
      </c>
      <c r="H90" s="45"/>
    </row>
    <row r="91" customFormat="false" ht="15" hidden="false" customHeight="true" outlineLevel="0" collapsed="false">
      <c r="A91" s="5" t="s">
        <v>40</v>
      </c>
      <c r="B91" s="9" t="s">
        <v>100</v>
      </c>
      <c r="C91" s="41" t="n">
        <f aca="false">INDEX(Maos_por_spot!$L$5:$L$173,MATCH($B91,Maos_por_spot!$A$5:$A$173,0))</f>
        <v>1</v>
      </c>
      <c r="D91" s="43" t="str">
        <f aca="false">INDEX(Maos_por_spot!$M$5:$M$173,MATCH($B91,Maos_por_spot!$A$5:$A$173,0))</f>
        <v>3bet</v>
      </c>
      <c r="E91" s="40" t="n">
        <f aca="false">INDEX(Folds_total!$D$5:$D$173,MATCH($B91,Folds_total!$A$5:$A$173,0))</f>
        <v>0</v>
      </c>
      <c r="F91" s="44" t="n">
        <f aca="false">IF(E91="","",E91*C91)</f>
        <v>0</v>
      </c>
      <c r="G91" s="9" t="str">
        <f aca="false">IF(E91="","",IF(AND(C91&gt;=0.8,E91&gt;=$D$4),"Revisar: o solver quase sempre defende",""))</f>
        <v/>
      </c>
      <c r="H91" s="45"/>
    </row>
    <row r="92" customFormat="false" ht="15" hidden="false" customHeight="true" outlineLevel="0" collapsed="false">
      <c r="A92" s="5" t="s">
        <v>40</v>
      </c>
      <c r="B92" s="9" t="s">
        <v>101</v>
      </c>
      <c r="C92" s="41" t="n">
        <f aca="false">INDEX(Maos_por_spot!$L$5:$L$173,MATCH($B92,Maos_por_spot!$A$5:$A$173,0))</f>
        <v>1</v>
      </c>
      <c r="D92" s="43" t="str">
        <f aca="false">INDEX(Maos_por_spot!$M$5:$M$173,MATCH($B92,Maos_por_spot!$A$5:$A$173,0))</f>
        <v>Call</v>
      </c>
      <c r="E92" s="40" t="n">
        <f aca="false">INDEX(Folds_total!$D$5:$D$173,MATCH($B92,Folds_total!$A$5:$A$173,0))</f>
        <v>0</v>
      </c>
      <c r="F92" s="44" t="n">
        <f aca="false">IF(E92="","",E92*C92)</f>
        <v>0</v>
      </c>
      <c r="G92" s="9" t="str">
        <f aca="false">IF(E92="","",IF(AND(C92&gt;=0.8,E92&gt;=$D$4),"Revisar: o solver quase sempre defende",""))</f>
        <v/>
      </c>
      <c r="H92" s="45"/>
    </row>
    <row r="93" customFormat="false" ht="15" hidden="false" customHeight="true" outlineLevel="0" collapsed="false">
      <c r="A93" s="5" t="s">
        <v>40</v>
      </c>
      <c r="B93" s="9" t="s">
        <v>102</v>
      </c>
      <c r="C93" s="41" t="n">
        <f aca="false">INDEX(Maos_por_spot!$L$5:$L$173,MATCH($B93,Maos_por_spot!$A$5:$A$173,0))</f>
        <v>1</v>
      </c>
      <c r="D93" s="43" t="str">
        <f aca="false">INDEX(Maos_por_spot!$M$5:$M$173,MATCH($B93,Maos_por_spot!$A$5:$A$173,0))</f>
        <v>Call</v>
      </c>
      <c r="E93" s="40" t="n">
        <f aca="false">INDEX(Folds_total!$D$5:$D$173,MATCH($B93,Folds_total!$A$5:$A$173,0))</f>
        <v>0</v>
      </c>
      <c r="F93" s="44" t="n">
        <f aca="false">IF(E93="","",E93*C93)</f>
        <v>0</v>
      </c>
      <c r="G93" s="9" t="str">
        <f aca="false">IF(E93="","",IF(AND(C93&gt;=0.8,E93&gt;=$D$4),"Revisar: o solver quase sempre defende",""))</f>
        <v/>
      </c>
      <c r="H93" s="45"/>
    </row>
    <row r="94" customFormat="false" ht="15" hidden="false" customHeight="true" outlineLevel="0" collapsed="false">
      <c r="A94" s="5" t="s">
        <v>40</v>
      </c>
      <c r="B94" s="9" t="s">
        <v>103</v>
      </c>
      <c r="C94" s="41" t="n">
        <f aca="false">INDEX(Maos_por_spot!$L$5:$L$173,MATCH($B94,Maos_por_spot!$A$5:$A$173,0))</f>
        <v>1</v>
      </c>
      <c r="D94" s="43" t="str">
        <f aca="false">INDEX(Maos_por_spot!$M$5:$M$173,MATCH($B94,Maos_por_spot!$A$5:$A$173,0))</f>
        <v>Call</v>
      </c>
      <c r="E94" s="40" t="n">
        <f aca="false">INDEX(Folds_total!$D$5:$D$173,MATCH($B94,Folds_total!$A$5:$A$173,0))</f>
        <v>0</v>
      </c>
      <c r="F94" s="44" t="n">
        <f aca="false">IF(E94="","",E94*C94)</f>
        <v>0</v>
      </c>
      <c r="G94" s="9" t="str">
        <f aca="false">IF(E94="","",IF(AND(C94&gt;=0.8,E94&gt;=$D$4),"Revisar: o solver quase sempre defende",""))</f>
        <v/>
      </c>
      <c r="H94" s="45"/>
    </row>
    <row r="95" customFormat="false" ht="15" hidden="false" customHeight="true" outlineLevel="0" collapsed="false">
      <c r="A95" s="5" t="s">
        <v>40</v>
      </c>
      <c r="B95" s="9" t="s">
        <v>104</v>
      </c>
      <c r="C95" s="41" t="n">
        <f aca="false">INDEX(Maos_por_spot!$L$5:$L$173,MATCH($B95,Maos_por_spot!$A$5:$A$173,0))</f>
        <v>1</v>
      </c>
      <c r="D95" s="43" t="str">
        <f aca="false">INDEX(Maos_por_spot!$M$5:$M$173,MATCH($B95,Maos_por_spot!$A$5:$A$173,0))</f>
        <v>Call</v>
      </c>
      <c r="E95" s="40" t="n">
        <f aca="false">INDEX(Folds_total!$D$5:$D$173,MATCH($B95,Folds_total!$A$5:$A$173,0))</f>
        <v>1</v>
      </c>
      <c r="F95" s="44" t="n">
        <f aca="false">IF(E95="","",E95*C95)</f>
        <v>1</v>
      </c>
      <c r="G95" s="9" t="str">
        <f aca="false">IF(E95="","",IF(AND(C95&gt;=0.8,E95&gt;=$D$4),"Revisar: o solver quase sempre defende",""))</f>
        <v/>
      </c>
      <c r="H95" s="45"/>
    </row>
    <row r="96" customFormat="false" ht="15" hidden="false" customHeight="true" outlineLevel="0" collapsed="false">
      <c r="A96" s="5" t="s">
        <v>40</v>
      </c>
      <c r="B96" s="9" t="s">
        <v>105</v>
      </c>
      <c r="C96" s="41" t="n">
        <f aca="false">INDEX(Maos_por_spot!$L$5:$L$173,MATCH($B96,Maos_por_spot!$A$5:$A$173,0))</f>
        <v>1</v>
      </c>
      <c r="D96" s="43" t="str">
        <f aca="false">INDEX(Maos_por_spot!$M$5:$M$173,MATCH($B96,Maos_por_spot!$A$5:$A$173,0))</f>
        <v>3bet/call</v>
      </c>
      <c r="E96" s="40" t="n">
        <f aca="false">INDEX(Folds_total!$D$5:$D$173,MATCH($B96,Folds_total!$A$5:$A$173,0))</f>
        <v>2</v>
      </c>
      <c r="F96" s="44" t="n">
        <f aca="false">IF(E96="","",E96*C96)</f>
        <v>2</v>
      </c>
      <c r="G96" s="9" t="str">
        <f aca="false">IF(E96="","",IF(AND(C96&gt;=0.8,E96&gt;=$D$4),"Revisar: o solver quase sempre defende",""))</f>
        <v/>
      </c>
      <c r="H96" s="45"/>
    </row>
    <row r="97" customFormat="false" ht="15" hidden="false" customHeight="true" outlineLevel="0" collapsed="false">
      <c r="A97" s="5" t="s">
        <v>40</v>
      </c>
      <c r="B97" s="9" t="s">
        <v>106</v>
      </c>
      <c r="C97" s="41" t="n">
        <f aca="false">INDEX(Maos_por_spot!$L$5:$L$173,MATCH($B97,Maos_por_spot!$A$5:$A$173,0))</f>
        <v>1</v>
      </c>
      <c r="D97" s="43" t="str">
        <f aca="false">INDEX(Maos_por_spot!$M$5:$M$173,MATCH($B97,Maos_por_spot!$A$5:$A$173,0))</f>
        <v>3bet/call</v>
      </c>
      <c r="E97" s="40" t="n">
        <f aca="false">INDEX(Folds_total!$D$5:$D$173,MATCH($B97,Folds_total!$A$5:$A$173,0))</f>
        <v>4</v>
      </c>
      <c r="F97" s="44" t="n">
        <f aca="false">IF(E97="","",E97*C97)</f>
        <v>4</v>
      </c>
      <c r="G97" s="9" t="str">
        <f aca="false">IF(E97="","",IF(AND(C97&gt;=0.8,E97&gt;=$D$4),"Revisar: o solver quase sempre defende",""))</f>
        <v/>
      </c>
      <c r="H97" s="45"/>
    </row>
    <row r="98" customFormat="false" ht="15" hidden="false" customHeight="true" outlineLevel="0" collapsed="false">
      <c r="A98" s="5" t="s">
        <v>40</v>
      </c>
      <c r="B98" s="9" t="s">
        <v>107</v>
      </c>
      <c r="C98" s="41" t="n">
        <f aca="false">INDEX(Maos_por_spot!$L$5:$L$173,MATCH($B98,Maos_por_spot!$A$5:$A$173,0))</f>
        <v>0.8</v>
      </c>
      <c r="D98" s="43" t="str">
        <f aca="false">INDEX(Maos_por_spot!$M$5:$M$173,MATCH($B98,Maos_por_spot!$A$5:$A$173,0))</f>
        <v>3bet/call</v>
      </c>
      <c r="E98" s="40" t="n">
        <f aca="false">INDEX(Folds_total!$D$5:$D$173,MATCH($B98,Folds_total!$A$5:$A$173,0))</f>
        <v>8</v>
      </c>
      <c r="F98" s="44" t="n">
        <f aca="false">IF(E98="","",E98*C98)</f>
        <v>6.4</v>
      </c>
      <c r="G98" s="9" t="str">
        <f aca="false">IF(E98="","",IF(AND(C98&gt;=0.8,E98&gt;=$D$4),"Revisar: o solver quase sempre defende",""))</f>
        <v>Revisar: o solver quase sempre defende</v>
      </c>
      <c r="H98" s="45"/>
    </row>
    <row r="99" customFormat="false" ht="15" hidden="false" customHeight="true" outlineLevel="0" collapsed="false">
      <c r="A99" s="5" t="s">
        <v>40</v>
      </c>
      <c r="B99" s="9" t="s">
        <v>108</v>
      </c>
      <c r="C99" s="41" t="n">
        <f aca="false">INDEX(Maos_por_spot!$L$5:$L$173,MATCH($B99,Maos_por_spot!$A$5:$A$173,0))</f>
        <v>0.4</v>
      </c>
      <c r="D99" s="43" t="str">
        <f aca="false">INDEX(Maos_por_spot!$M$5:$M$173,MATCH($B99,Maos_por_spot!$A$5:$A$173,0))</f>
        <v>3bet</v>
      </c>
      <c r="E99" s="40" t="n">
        <f aca="false">INDEX(Folds_total!$D$5:$D$173,MATCH($B99,Folds_total!$A$5:$A$173,0))</f>
        <v>8</v>
      </c>
      <c r="F99" s="44" t="n">
        <f aca="false">IF(E99="","",E99*C99)</f>
        <v>3.2</v>
      </c>
      <c r="G99" s="9" t="str">
        <f aca="false">IF(E99="","",IF(AND(C99&gt;=0.8,E99&gt;=$D$4),"Revisar: o solver quase sempre defende",""))</f>
        <v/>
      </c>
      <c r="H99" s="45"/>
    </row>
    <row r="100" customFormat="false" ht="15" hidden="false" customHeight="true" outlineLevel="0" collapsed="false">
      <c r="A100" s="5" t="s">
        <v>40</v>
      </c>
      <c r="B100" s="9" t="s">
        <v>112</v>
      </c>
      <c r="C100" s="41" t="n">
        <f aca="false">INDEX(Maos_por_spot!$L$5:$L$173,MATCH($B100,Maos_por_spot!$A$5:$A$173,0))</f>
        <v>1</v>
      </c>
      <c r="D100" s="43" t="str">
        <f aca="false">INDEX(Maos_por_spot!$M$5:$M$173,MATCH($B100,Maos_por_spot!$A$5:$A$173,0))</f>
        <v>3bet/call</v>
      </c>
      <c r="E100" s="40" t="n">
        <f aca="false">INDEX(Folds_total!$D$5:$D$173,MATCH($B100,Folds_total!$A$5:$A$173,0))</f>
        <v>0</v>
      </c>
      <c r="F100" s="44" t="n">
        <f aca="false">IF(E100="","",E100*C100)</f>
        <v>0</v>
      </c>
      <c r="G100" s="9" t="str">
        <f aca="false">IF(E100="","",IF(AND(C100&gt;=0.8,E100&gt;=$D$4),"Revisar: o solver quase sempre defende",""))</f>
        <v/>
      </c>
      <c r="H100" s="45"/>
    </row>
    <row r="101" customFormat="false" ht="15" hidden="false" customHeight="true" outlineLevel="0" collapsed="false">
      <c r="A101" s="5" t="s">
        <v>40</v>
      </c>
      <c r="B101" s="9" t="s">
        <v>113</v>
      </c>
      <c r="C101" s="41" t="n">
        <f aca="false">INDEX(Maos_por_spot!$L$5:$L$173,MATCH($B101,Maos_por_spot!$A$5:$A$173,0))</f>
        <v>1</v>
      </c>
      <c r="D101" s="43" t="str">
        <f aca="false">INDEX(Maos_por_spot!$M$5:$M$173,MATCH($B101,Maos_por_spot!$A$5:$A$173,0))</f>
        <v>3bet/call</v>
      </c>
      <c r="E101" s="40" t="n">
        <f aca="false">INDEX(Folds_total!$D$5:$D$173,MATCH($B101,Folds_total!$A$5:$A$173,0))</f>
        <v>1</v>
      </c>
      <c r="F101" s="44" t="n">
        <f aca="false">IF(E101="","",E101*C101)</f>
        <v>1</v>
      </c>
      <c r="G101" s="9" t="str">
        <f aca="false">IF(E101="","",IF(AND(C101&gt;=0.8,E101&gt;=$D$4),"Revisar: o solver quase sempre defende",""))</f>
        <v/>
      </c>
      <c r="H101" s="45"/>
    </row>
    <row r="102" customFormat="false" ht="15" hidden="false" customHeight="true" outlineLevel="0" collapsed="false">
      <c r="A102" s="5" t="s">
        <v>40</v>
      </c>
      <c r="B102" s="9" t="s">
        <v>114</v>
      </c>
      <c r="C102" s="41" t="n">
        <f aca="false">INDEX(Maos_por_spot!$L$5:$L$173,MATCH($B102,Maos_por_spot!$A$5:$A$173,0))</f>
        <v>1</v>
      </c>
      <c r="D102" s="43" t="str">
        <f aca="false">INDEX(Maos_por_spot!$M$5:$M$173,MATCH($B102,Maos_por_spot!$A$5:$A$173,0))</f>
        <v>3bet</v>
      </c>
      <c r="E102" s="40" t="n">
        <f aca="false">INDEX(Folds_total!$D$5:$D$173,MATCH($B102,Folds_total!$A$5:$A$173,0))</f>
        <v>0</v>
      </c>
      <c r="F102" s="44" t="n">
        <f aca="false">IF(E102="","",E102*C102)</f>
        <v>0</v>
      </c>
      <c r="G102" s="9" t="str">
        <f aca="false">IF(E102="","",IF(AND(C102&gt;=0.8,E102&gt;=$D$4),"Revisar: o solver quase sempre defende",""))</f>
        <v/>
      </c>
      <c r="H102" s="45"/>
    </row>
    <row r="103" customFormat="false" ht="15" hidden="false" customHeight="true" outlineLevel="0" collapsed="false">
      <c r="A103" s="5" t="s">
        <v>40</v>
      </c>
      <c r="B103" s="9" t="s">
        <v>115</v>
      </c>
      <c r="C103" s="41" t="n">
        <f aca="false">INDEX(Maos_por_spot!$L$5:$L$173,MATCH($B103,Maos_por_spot!$A$5:$A$173,0))</f>
        <v>1</v>
      </c>
      <c r="D103" s="43" t="str">
        <f aca="false">INDEX(Maos_por_spot!$M$5:$M$173,MATCH($B103,Maos_por_spot!$A$5:$A$173,0))</f>
        <v>Call</v>
      </c>
      <c r="E103" s="40" t="n">
        <f aca="false">INDEX(Folds_total!$D$5:$D$173,MATCH($B103,Folds_total!$A$5:$A$173,0))</f>
        <v>0</v>
      </c>
      <c r="F103" s="44" t="n">
        <f aca="false">IF(E103="","",E103*C103)</f>
        <v>0</v>
      </c>
      <c r="G103" s="9" t="str">
        <f aca="false">IF(E103="","",IF(AND(C103&gt;=0.8,E103&gt;=$D$4),"Revisar: o solver quase sempre defende",""))</f>
        <v/>
      </c>
      <c r="H103" s="45"/>
    </row>
    <row r="104" customFormat="false" ht="15" hidden="false" customHeight="true" outlineLevel="0" collapsed="false">
      <c r="A104" s="5" t="s">
        <v>40</v>
      </c>
      <c r="B104" s="9" t="s">
        <v>116</v>
      </c>
      <c r="C104" s="41" t="n">
        <f aca="false">INDEX(Maos_por_spot!$L$5:$L$173,MATCH($B104,Maos_por_spot!$A$5:$A$173,0))</f>
        <v>1</v>
      </c>
      <c r="D104" s="43" t="str">
        <f aca="false">INDEX(Maos_por_spot!$M$5:$M$173,MATCH($B104,Maos_por_spot!$A$5:$A$173,0))</f>
        <v>Call</v>
      </c>
      <c r="E104" s="40" t="n">
        <f aca="false">INDEX(Folds_total!$D$5:$D$173,MATCH($B104,Folds_total!$A$5:$A$173,0))</f>
        <v>1</v>
      </c>
      <c r="F104" s="44" t="n">
        <f aca="false">IF(E104="","",E104*C104)</f>
        <v>1</v>
      </c>
      <c r="G104" s="9" t="str">
        <f aca="false">IF(E104="","",IF(AND(C104&gt;=0.8,E104&gt;=$D$4),"Revisar: o solver quase sempre defende",""))</f>
        <v/>
      </c>
      <c r="H104" s="45"/>
    </row>
    <row r="105" customFormat="false" ht="15" hidden="false" customHeight="true" outlineLevel="0" collapsed="false">
      <c r="A105" s="5" t="s">
        <v>40</v>
      </c>
      <c r="B105" s="9" t="s">
        <v>117</v>
      </c>
      <c r="C105" s="41" t="n">
        <f aca="false">INDEX(Maos_por_spot!$L$5:$L$173,MATCH($B105,Maos_por_spot!$A$5:$A$173,0))</f>
        <v>1</v>
      </c>
      <c r="D105" s="43" t="str">
        <f aca="false">INDEX(Maos_por_spot!$M$5:$M$173,MATCH($B105,Maos_por_spot!$A$5:$A$173,0))</f>
        <v>3bet/call</v>
      </c>
      <c r="E105" s="40" t="n">
        <f aca="false">INDEX(Folds_total!$D$5:$D$173,MATCH($B105,Folds_total!$A$5:$A$173,0))</f>
        <v>1</v>
      </c>
      <c r="F105" s="44" t="n">
        <f aca="false">IF(E105="","",E105*C105)</f>
        <v>1</v>
      </c>
      <c r="G105" s="9" t="str">
        <f aca="false">IF(E105="","",IF(AND(C105&gt;=0.8,E105&gt;=$D$4),"Revisar: o solver quase sempre defende",""))</f>
        <v/>
      </c>
      <c r="H105" s="45"/>
    </row>
    <row r="106" customFormat="false" ht="15" hidden="false" customHeight="true" outlineLevel="0" collapsed="false">
      <c r="A106" s="5" t="s">
        <v>40</v>
      </c>
      <c r="B106" s="9" t="s">
        <v>118</v>
      </c>
      <c r="C106" s="41" t="n">
        <f aca="false">INDEX(Maos_por_spot!$L$5:$L$173,MATCH($B106,Maos_por_spot!$A$5:$A$173,0))</f>
        <v>1</v>
      </c>
      <c r="D106" s="43" t="str">
        <f aca="false">INDEX(Maos_por_spot!$M$5:$M$173,MATCH($B106,Maos_por_spot!$A$5:$A$173,0))</f>
        <v>3bet</v>
      </c>
      <c r="E106" s="40" t="n">
        <f aca="false">INDEX(Folds_total!$D$5:$D$173,MATCH($B106,Folds_total!$A$5:$A$173,0))</f>
        <v>9</v>
      </c>
      <c r="F106" s="44" t="n">
        <f aca="false">IF(E106="","",E106*C106)</f>
        <v>9</v>
      </c>
      <c r="G106" s="9" t="str">
        <f aca="false">IF(E106="","",IF(AND(C106&gt;=0.8,E106&gt;=$D$4),"Revisar: o solver quase sempre defende",""))</f>
        <v>Revisar: o solver quase sempre defende</v>
      </c>
      <c r="H106" s="45"/>
    </row>
    <row r="107" customFormat="false" ht="15" hidden="false" customHeight="true" outlineLevel="0" collapsed="false">
      <c r="A107" s="5" t="s">
        <v>40</v>
      </c>
      <c r="B107" s="9" t="s">
        <v>125</v>
      </c>
      <c r="C107" s="41" t="n">
        <f aca="false">INDEX(Maos_por_spot!$L$5:$L$173,MATCH($B107,Maos_por_spot!$A$5:$A$173,0))</f>
        <v>1</v>
      </c>
      <c r="D107" s="43" t="str">
        <f aca="false">INDEX(Maos_por_spot!$M$5:$M$173,MATCH($B107,Maos_por_spot!$A$5:$A$173,0))</f>
        <v>3bet/call</v>
      </c>
      <c r="E107" s="40" t="n">
        <f aca="false">INDEX(Folds_total!$D$5:$D$173,MATCH($B107,Folds_total!$A$5:$A$173,0))</f>
        <v>0</v>
      </c>
      <c r="F107" s="44" t="n">
        <f aca="false">IF(E107="","",E107*C107)</f>
        <v>0</v>
      </c>
      <c r="G107" s="9" t="str">
        <f aca="false">IF(E107="","",IF(AND(C107&gt;=0.8,E107&gt;=$D$4),"Revisar: o solver quase sempre defende",""))</f>
        <v/>
      </c>
      <c r="H107" s="45"/>
    </row>
    <row r="108" customFormat="false" ht="15" hidden="false" customHeight="true" outlineLevel="0" collapsed="false">
      <c r="A108" s="5" t="s">
        <v>40</v>
      </c>
      <c r="B108" s="9" t="s">
        <v>126</v>
      </c>
      <c r="C108" s="41" t="n">
        <f aca="false">INDEX(Maos_por_spot!$L$5:$L$173,MATCH($B108,Maos_por_spot!$A$5:$A$173,0))</f>
        <v>1</v>
      </c>
      <c r="D108" s="43" t="str">
        <f aca="false">INDEX(Maos_por_spot!$M$5:$M$173,MATCH($B108,Maos_por_spot!$A$5:$A$173,0))</f>
        <v>3bet/call</v>
      </c>
      <c r="E108" s="40" t="n">
        <f aca="false">INDEX(Folds_total!$D$5:$D$173,MATCH($B108,Folds_total!$A$5:$A$173,0))</f>
        <v>3</v>
      </c>
      <c r="F108" s="44" t="n">
        <f aca="false">IF(E108="","",E108*C108)</f>
        <v>3</v>
      </c>
      <c r="G108" s="9" t="str">
        <f aca="false">IF(E108="","",IF(AND(C108&gt;=0.8,E108&gt;=$D$4),"Revisar: o solver quase sempre defende",""))</f>
        <v/>
      </c>
      <c r="H108" s="45"/>
    </row>
    <row r="109" customFormat="false" ht="15" hidden="false" customHeight="true" outlineLevel="0" collapsed="false">
      <c r="A109" s="5" t="s">
        <v>40</v>
      </c>
      <c r="B109" s="9" t="s">
        <v>127</v>
      </c>
      <c r="C109" s="41" t="n">
        <f aca="false">INDEX(Maos_por_spot!$L$5:$L$173,MATCH($B109,Maos_por_spot!$A$5:$A$173,0))</f>
        <v>1</v>
      </c>
      <c r="D109" s="43" t="str">
        <f aca="false">INDEX(Maos_por_spot!$M$5:$M$173,MATCH($B109,Maos_por_spot!$A$5:$A$173,0))</f>
        <v>3bet/call</v>
      </c>
      <c r="E109" s="40" t="n">
        <f aca="false">INDEX(Folds_total!$D$5:$D$173,MATCH($B109,Folds_total!$A$5:$A$173,0))</f>
        <v>13</v>
      </c>
      <c r="F109" s="44" t="n">
        <f aca="false">IF(E109="","",E109*C109)</f>
        <v>13</v>
      </c>
      <c r="G109" s="9" t="str">
        <f aca="false">IF(E109="","",IF(AND(C109&gt;=0.8,E109&gt;=$D$4),"Revisar: o solver quase sempre defende",""))</f>
        <v>Revisar: o solver quase sempre defende</v>
      </c>
      <c r="H109" s="45"/>
    </row>
    <row r="110" customFormat="false" ht="15" hidden="false" customHeight="true" outlineLevel="0" collapsed="false">
      <c r="A110" s="5" t="s">
        <v>40</v>
      </c>
      <c r="B110" s="9" t="s">
        <v>128</v>
      </c>
      <c r="C110" s="41" t="n">
        <f aca="false">INDEX(Maos_por_spot!$L$5:$L$173,MATCH($B110,Maos_por_spot!$A$5:$A$173,0))</f>
        <v>1</v>
      </c>
      <c r="D110" s="43" t="str">
        <f aca="false">INDEX(Maos_por_spot!$M$5:$M$173,MATCH($B110,Maos_por_spot!$A$5:$A$173,0))</f>
        <v>3bet</v>
      </c>
      <c r="E110" s="40" t="n">
        <f aca="false">INDEX(Folds_total!$D$5:$D$173,MATCH($B110,Folds_total!$A$5:$A$173,0))</f>
        <v>0</v>
      </c>
      <c r="F110" s="44" t="n">
        <f aca="false">IF(E110="","",E110*C110)</f>
        <v>0</v>
      </c>
      <c r="G110" s="9" t="str">
        <f aca="false">IF(E110="","",IF(AND(C110&gt;=0.8,E110&gt;=$D$4),"Revisar: o solver quase sempre defende",""))</f>
        <v/>
      </c>
      <c r="H110" s="45"/>
    </row>
    <row r="111" customFormat="false" ht="15" hidden="false" customHeight="true" outlineLevel="0" collapsed="false">
      <c r="A111" s="5" t="s">
        <v>40</v>
      </c>
      <c r="B111" s="9" t="s">
        <v>129</v>
      </c>
      <c r="C111" s="41" t="n">
        <f aca="false">INDEX(Maos_por_spot!$L$5:$L$173,MATCH($B111,Maos_por_spot!$A$5:$A$173,0))</f>
        <v>1</v>
      </c>
      <c r="D111" s="43" t="str">
        <f aca="false">INDEX(Maos_por_spot!$M$5:$M$173,MATCH($B111,Maos_por_spot!$A$5:$A$173,0))</f>
        <v>Call</v>
      </c>
      <c r="E111" s="40" t="n">
        <f aca="false">INDEX(Folds_total!$D$5:$D$173,MATCH($B111,Folds_total!$A$5:$A$173,0))</f>
        <v>0</v>
      </c>
      <c r="F111" s="44" t="n">
        <f aca="false">IF(E111="","",E111*C111)</f>
        <v>0</v>
      </c>
      <c r="G111" s="9" t="str">
        <f aca="false">IF(E111="","",IF(AND(C111&gt;=0.8,E111&gt;=$D$4),"Revisar: o solver quase sempre defende",""))</f>
        <v/>
      </c>
      <c r="H111" s="45"/>
    </row>
    <row r="112" customFormat="false" ht="15" hidden="false" customHeight="true" outlineLevel="0" collapsed="false">
      <c r="A112" s="5" t="s">
        <v>40</v>
      </c>
      <c r="B112" s="9" t="s">
        <v>130</v>
      </c>
      <c r="C112" s="41" t="n">
        <f aca="false">INDEX(Maos_por_spot!$L$5:$L$173,MATCH($B112,Maos_por_spot!$A$5:$A$173,0))</f>
        <v>1</v>
      </c>
      <c r="D112" s="43" t="str">
        <f aca="false">INDEX(Maos_por_spot!$M$5:$M$173,MATCH($B112,Maos_por_spot!$A$5:$A$173,0))</f>
        <v>Call</v>
      </c>
      <c r="E112" s="40" t="n">
        <f aca="false">INDEX(Folds_total!$D$5:$D$173,MATCH($B112,Folds_total!$A$5:$A$173,0))</f>
        <v>3</v>
      </c>
      <c r="F112" s="44" t="n">
        <f aca="false">IF(E112="","",E112*C112)</f>
        <v>3</v>
      </c>
      <c r="G112" s="9" t="str">
        <f aca="false">IF(E112="","",IF(AND(C112&gt;=0.8,E112&gt;=$D$4),"Revisar: o solver quase sempre defende",""))</f>
        <v/>
      </c>
      <c r="H112" s="45"/>
    </row>
    <row r="113" customFormat="false" ht="15" hidden="false" customHeight="true" outlineLevel="0" collapsed="false">
      <c r="A113" s="5" t="s">
        <v>40</v>
      </c>
      <c r="B113" s="9" t="s">
        <v>131</v>
      </c>
      <c r="C113" s="41" t="n">
        <f aca="false">INDEX(Maos_por_spot!$L$5:$L$173,MATCH($B113,Maos_por_spot!$A$5:$A$173,0))</f>
        <v>1</v>
      </c>
      <c r="D113" s="43" t="str">
        <f aca="false">INDEX(Maos_por_spot!$M$5:$M$173,MATCH($B113,Maos_por_spot!$A$5:$A$173,0))</f>
        <v>3bet/call</v>
      </c>
      <c r="E113" s="40" t="n">
        <f aca="false">INDEX(Folds_total!$D$5:$D$173,MATCH($B113,Folds_total!$A$5:$A$173,0))</f>
        <v>4</v>
      </c>
      <c r="F113" s="44" t="n">
        <f aca="false">IF(E113="","",E113*C113)</f>
        <v>4</v>
      </c>
      <c r="G113" s="9" t="str">
        <f aca="false">IF(E113="","",IF(AND(C113&gt;=0.8,E113&gt;=$D$4),"Revisar: o solver quase sempre defende",""))</f>
        <v/>
      </c>
      <c r="H113" s="45"/>
    </row>
    <row r="114" customFormat="false" ht="15" hidden="false" customHeight="true" outlineLevel="0" collapsed="false">
      <c r="A114" s="5" t="s">
        <v>40</v>
      </c>
      <c r="B114" s="9" t="s">
        <v>138</v>
      </c>
      <c r="C114" s="41" t="n">
        <f aca="false">INDEX(Maos_por_spot!$L$5:$L$173,MATCH($B114,Maos_por_spot!$A$5:$A$173,0))</f>
        <v>1</v>
      </c>
      <c r="D114" s="43" t="str">
        <f aca="false">INDEX(Maos_por_spot!$M$5:$M$173,MATCH($B114,Maos_por_spot!$A$5:$A$173,0))</f>
        <v>3bet/call</v>
      </c>
      <c r="E114" s="40" t="n">
        <f aca="false">INDEX(Folds_total!$D$5:$D$173,MATCH($B114,Folds_total!$A$5:$A$173,0))</f>
        <v>4</v>
      </c>
      <c r="F114" s="44" t="n">
        <f aca="false">IF(E114="","",E114*C114)</f>
        <v>4</v>
      </c>
      <c r="G114" s="9" t="str">
        <f aca="false">IF(E114="","",IF(AND(C114&gt;=0.8,E114&gt;=$D$4),"Revisar: o solver quase sempre defende",""))</f>
        <v/>
      </c>
      <c r="H114" s="45"/>
    </row>
    <row r="115" customFormat="false" ht="15" hidden="false" customHeight="true" outlineLevel="0" collapsed="false">
      <c r="A115" s="5" t="s">
        <v>40</v>
      </c>
      <c r="B115" s="9" t="s">
        <v>139</v>
      </c>
      <c r="C115" s="41" t="n">
        <f aca="false">INDEX(Maos_por_spot!$L$5:$L$173,MATCH($B115,Maos_por_spot!$A$5:$A$173,0))</f>
        <v>1</v>
      </c>
      <c r="D115" s="43" t="str">
        <f aca="false">INDEX(Maos_por_spot!$M$5:$M$173,MATCH($B115,Maos_por_spot!$A$5:$A$173,0))</f>
        <v>3bet/call</v>
      </c>
      <c r="E115" s="40" t="n">
        <f aca="false">INDEX(Folds_total!$D$5:$D$173,MATCH($B115,Folds_total!$A$5:$A$173,0))</f>
        <v>11</v>
      </c>
      <c r="F115" s="44" t="n">
        <f aca="false">IF(E115="","",E115*C115)</f>
        <v>11</v>
      </c>
      <c r="G115" s="9" t="str">
        <f aca="false">IF(E115="","",IF(AND(C115&gt;=0.8,E115&gt;=$D$4),"Revisar: o solver quase sempre defende",""))</f>
        <v>Revisar: o solver quase sempre defende</v>
      </c>
      <c r="H115" s="45"/>
    </row>
    <row r="116" customFormat="false" ht="15" hidden="false" customHeight="true" outlineLevel="0" collapsed="false">
      <c r="A116" s="5" t="s">
        <v>40</v>
      </c>
      <c r="B116" s="9" t="s">
        <v>140</v>
      </c>
      <c r="C116" s="41" t="n">
        <f aca="false">INDEX(Maos_por_spot!$L$5:$L$173,MATCH($B116,Maos_por_spot!$A$5:$A$173,0))</f>
        <v>0.55</v>
      </c>
      <c r="D116" s="43" t="str">
        <f aca="false">INDEX(Maos_por_spot!$M$5:$M$173,MATCH($B116,Maos_por_spot!$A$5:$A$173,0))</f>
        <v>3bet/call</v>
      </c>
      <c r="E116" s="40" t="n">
        <f aca="false">INDEX(Folds_total!$D$5:$D$173,MATCH($B116,Folds_total!$A$5:$A$173,0))</f>
        <v>5</v>
      </c>
      <c r="F116" s="44" t="n">
        <f aca="false">IF(E116="","",E116*C116)</f>
        <v>2.75</v>
      </c>
      <c r="G116" s="9" t="str">
        <f aca="false">IF(E116="","",IF(AND(C116&gt;=0.8,E116&gt;=$D$4),"Revisar: o solver quase sempre defende",""))</f>
        <v/>
      </c>
      <c r="H116" s="45"/>
    </row>
    <row r="117" customFormat="false" ht="15" hidden="false" customHeight="true" outlineLevel="0" collapsed="false">
      <c r="A117" s="5" t="s">
        <v>40</v>
      </c>
      <c r="B117" s="9" t="s">
        <v>142</v>
      </c>
      <c r="C117" s="41" t="n">
        <f aca="false">INDEX(Maos_por_spot!$L$5:$L$173,MATCH($B117,Maos_por_spot!$A$5:$A$173,0))</f>
        <v>1</v>
      </c>
      <c r="D117" s="43" t="str">
        <f aca="false">INDEX(Maos_por_spot!$M$5:$M$173,MATCH($B117,Maos_por_spot!$A$5:$A$173,0))</f>
        <v>3bet</v>
      </c>
      <c r="E117" s="40" t="n">
        <f aca="false">INDEX(Folds_total!$D$5:$D$173,MATCH($B117,Folds_total!$A$5:$A$173,0))</f>
        <v>0</v>
      </c>
      <c r="F117" s="44" t="n">
        <f aca="false">IF(E117="","",E117*C117)</f>
        <v>0</v>
      </c>
      <c r="G117" s="9" t="str">
        <f aca="false">IF(E117="","",IF(AND(C117&gt;=0.8,E117&gt;=$D$4),"Revisar: o solver quase sempre defende",""))</f>
        <v/>
      </c>
      <c r="H117" s="45"/>
    </row>
    <row r="118" customFormat="false" ht="15" hidden="false" customHeight="true" outlineLevel="0" collapsed="false">
      <c r="A118" s="5" t="s">
        <v>40</v>
      </c>
      <c r="B118" s="9" t="s">
        <v>143</v>
      </c>
      <c r="C118" s="41" t="n">
        <f aca="false">INDEX(Maos_por_spot!$L$5:$L$173,MATCH($B118,Maos_por_spot!$A$5:$A$173,0))</f>
        <v>1</v>
      </c>
      <c r="D118" s="43" t="str">
        <f aca="false">INDEX(Maos_por_spot!$M$5:$M$173,MATCH($B118,Maos_por_spot!$A$5:$A$173,0))</f>
        <v>Call</v>
      </c>
      <c r="E118" s="40" t="n">
        <f aca="false">INDEX(Folds_total!$D$5:$D$173,MATCH($B118,Folds_total!$A$5:$A$173,0))</f>
        <v>3</v>
      </c>
      <c r="F118" s="44" t="n">
        <f aca="false">IF(E118="","",E118*C118)</f>
        <v>3</v>
      </c>
      <c r="G118" s="9" t="str">
        <f aca="false">IF(E118="","",IF(AND(C118&gt;=0.8,E118&gt;=$D$4),"Revisar: o solver quase sempre defende",""))</f>
        <v/>
      </c>
      <c r="H118" s="45"/>
    </row>
    <row r="119" customFormat="false" ht="15" hidden="false" customHeight="true" outlineLevel="0" collapsed="false">
      <c r="A119" s="5" t="s">
        <v>40</v>
      </c>
      <c r="B119" s="9" t="s">
        <v>144</v>
      </c>
      <c r="C119" s="41" t="n">
        <f aca="false">INDEX(Maos_por_spot!$L$5:$L$173,MATCH($B119,Maos_por_spot!$A$5:$A$173,0))</f>
        <v>1</v>
      </c>
      <c r="D119" s="43" t="str">
        <f aca="false">INDEX(Maos_por_spot!$M$5:$M$173,MATCH($B119,Maos_por_spot!$A$5:$A$173,0))</f>
        <v>3bet/call</v>
      </c>
      <c r="E119" s="40" t="n">
        <f aca="false">INDEX(Folds_total!$D$5:$D$173,MATCH($B119,Folds_total!$A$5:$A$173,0))</f>
        <v>7</v>
      </c>
      <c r="F119" s="44" t="n">
        <f aca="false">IF(E119="","",E119*C119)</f>
        <v>7</v>
      </c>
      <c r="G119" s="9" t="str">
        <f aca="false">IF(E119="","",IF(AND(C119&gt;=0.8,E119&gt;=$D$4),"Revisar: o solver quase sempre defende",""))</f>
        <v>Revisar: o solver quase sempre defende</v>
      </c>
      <c r="H119" s="45"/>
    </row>
    <row r="120" customFormat="false" ht="15" hidden="false" customHeight="true" outlineLevel="0" collapsed="false">
      <c r="A120" s="5" t="s">
        <v>40</v>
      </c>
      <c r="B120" s="9" t="s">
        <v>151</v>
      </c>
      <c r="C120" s="41" t="n">
        <f aca="false">INDEX(Maos_por_spot!$L$5:$L$173,MATCH($B120,Maos_por_spot!$A$5:$A$173,0))</f>
        <v>1</v>
      </c>
      <c r="D120" s="43" t="str">
        <f aca="false">INDEX(Maos_por_spot!$M$5:$M$173,MATCH($B120,Maos_por_spot!$A$5:$A$173,0))</f>
        <v>3bet/call</v>
      </c>
      <c r="E120" s="40" t="n">
        <f aca="false">INDEX(Folds_total!$D$5:$D$173,MATCH($B120,Folds_total!$A$5:$A$173,0))</f>
        <v>17</v>
      </c>
      <c r="F120" s="44" t="n">
        <f aca="false">IF(E120="","",E120*C120)</f>
        <v>17</v>
      </c>
      <c r="G120" s="9" t="str">
        <f aca="false">IF(E120="","",IF(AND(C120&gt;=0.8,E120&gt;=$D$4),"Revisar: o solver quase sempre defende",""))</f>
        <v>Revisar: o solver quase sempre defende</v>
      </c>
      <c r="H120" s="45"/>
    </row>
    <row r="121" customFormat="false" ht="15" hidden="false" customHeight="true" outlineLevel="0" collapsed="false">
      <c r="A121" s="5" t="s">
        <v>40</v>
      </c>
      <c r="B121" s="9" t="s">
        <v>156</v>
      </c>
      <c r="C121" s="41" t="n">
        <f aca="false">INDEX(Maos_por_spot!$L$5:$L$173,MATCH($B121,Maos_por_spot!$A$5:$A$173,0))</f>
        <v>1</v>
      </c>
      <c r="D121" s="43" t="str">
        <f aca="false">INDEX(Maos_por_spot!$M$5:$M$173,MATCH($B121,Maos_por_spot!$A$5:$A$173,0))</f>
        <v>3bet/call</v>
      </c>
      <c r="E121" s="40" t="n">
        <f aca="false">INDEX(Folds_total!$D$5:$D$173,MATCH($B121,Folds_total!$A$5:$A$173,0))</f>
        <v>0</v>
      </c>
      <c r="F121" s="44" t="n">
        <f aca="false">IF(E121="","",E121*C121)</f>
        <v>0</v>
      </c>
      <c r="G121" s="9" t="str">
        <f aca="false">IF(E121="","",IF(AND(C121&gt;=0.8,E121&gt;=$D$4),"Revisar: o solver quase sempre defende",""))</f>
        <v/>
      </c>
      <c r="H121" s="45"/>
    </row>
    <row r="122" customFormat="false" ht="15" hidden="false" customHeight="true" outlineLevel="0" collapsed="false">
      <c r="A122" s="5" t="s">
        <v>40</v>
      </c>
      <c r="B122" s="9" t="s">
        <v>157</v>
      </c>
      <c r="C122" s="41" t="n">
        <f aca="false">INDEX(Maos_por_spot!$L$5:$L$173,MATCH($B122,Maos_por_spot!$A$5:$A$173,0))</f>
        <v>1</v>
      </c>
      <c r="D122" s="43" t="str">
        <f aca="false">INDEX(Maos_por_spot!$M$5:$M$173,MATCH($B122,Maos_por_spot!$A$5:$A$173,0))</f>
        <v>Call</v>
      </c>
      <c r="E122" s="40" t="n">
        <f aca="false">INDEX(Folds_total!$D$5:$D$173,MATCH($B122,Folds_total!$A$5:$A$173,0))</f>
        <v>0</v>
      </c>
      <c r="F122" s="44" t="n">
        <f aca="false">IF(E122="","",E122*C122)</f>
        <v>0</v>
      </c>
      <c r="G122" s="9" t="str">
        <f aca="false">IF(E122="","",IF(AND(C122&gt;=0.8,E122&gt;=$D$4),"Revisar: o solver quase sempre defende",""))</f>
        <v/>
      </c>
      <c r="H122" s="45"/>
    </row>
    <row r="123" customFormat="false" ht="15" hidden="false" customHeight="true" outlineLevel="0" collapsed="false">
      <c r="A123" s="5" t="s">
        <v>40</v>
      </c>
      <c r="B123" s="9" t="s">
        <v>158</v>
      </c>
      <c r="C123" s="41" t="n">
        <f aca="false">INDEX(Maos_por_spot!$L$5:$L$173,MATCH($B123,Maos_por_spot!$A$5:$A$173,0))</f>
        <v>0.3</v>
      </c>
      <c r="D123" s="43" t="str">
        <f aca="false">INDEX(Maos_por_spot!$M$5:$M$173,MATCH($B123,Maos_por_spot!$A$5:$A$173,0))</f>
        <v>3bet</v>
      </c>
      <c r="E123" s="40" t="n">
        <f aca="false">INDEX(Folds_total!$D$5:$D$173,MATCH($B123,Folds_total!$A$5:$A$173,0))</f>
        <v>3</v>
      </c>
      <c r="F123" s="44" t="n">
        <f aca="false">IF(E123="","",E123*C123)</f>
        <v>0.9</v>
      </c>
      <c r="G123" s="9" t="str">
        <f aca="false">IF(E123="","",IF(AND(C123&gt;=0.8,E123&gt;=$D$4),"Revisar: o solver quase sempre defende",""))</f>
        <v/>
      </c>
      <c r="H123" s="45"/>
    </row>
    <row r="124" customFormat="false" ht="15" hidden="false" customHeight="true" outlineLevel="0" collapsed="false">
      <c r="A124" s="5" t="s">
        <v>40</v>
      </c>
      <c r="B124" s="9" t="s">
        <v>164</v>
      </c>
      <c r="C124" s="41" t="n">
        <f aca="false">INDEX(Maos_por_spot!$L$5:$L$173,MATCH($B124,Maos_por_spot!$A$5:$A$173,0))</f>
        <v>0.4</v>
      </c>
      <c r="D124" s="43" t="str">
        <f aca="false">INDEX(Maos_por_spot!$M$5:$M$173,MATCH($B124,Maos_por_spot!$A$5:$A$173,0))</f>
        <v>3bet</v>
      </c>
      <c r="E124" s="40" t="n">
        <f aca="false">INDEX(Folds_total!$D$5:$D$173,MATCH($B124,Folds_total!$A$5:$A$173,0))</f>
        <v>33</v>
      </c>
      <c r="F124" s="44" t="n">
        <f aca="false">IF(E124="","",E124*C124)</f>
        <v>13.2</v>
      </c>
      <c r="G124" s="9" t="str">
        <f aca="false">IF(E124="","",IF(AND(C124&gt;=0.8,E124&gt;=$D$4),"Revisar: o solver quase sempre defende",""))</f>
        <v/>
      </c>
      <c r="H124" s="45"/>
    </row>
    <row r="125" customFormat="false" ht="15" hidden="false" customHeight="true" outlineLevel="0" collapsed="false">
      <c r="A125" s="5" t="s">
        <v>40</v>
      </c>
      <c r="B125" s="9" t="s">
        <v>170</v>
      </c>
      <c r="C125" s="41" t="n">
        <f aca="false">INDEX(Maos_por_spot!$L$5:$L$173,MATCH($B125,Maos_por_spot!$A$5:$A$173,0))</f>
        <v>1</v>
      </c>
      <c r="D125" s="43" t="str">
        <f aca="false">INDEX(Maos_por_spot!$M$5:$M$173,MATCH($B125,Maos_por_spot!$A$5:$A$173,0))</f>
        <v>3bet/call</v>
      </c>
      <c r="E125" s="40" t="n">
        <f aca="false">INDEX(Folds_total!$D$5:$D$173,MATCH($B125,Folds_total!$A$5:$A$173,0))</f>
        <v>0</v>
      </c>
      <c r="F125" s="44" t="n">
        <f aca="false">IF(E125="","",E125*C125)</f>
        <v>0</v>
      </c>
      <c r="G125" s="9" t="str">
        <f aca="false">IF(E125="","",IF(AND(C125&gt;=0.8,E125&gt;=$D$4),"Revisar: o solver quase sempre defende",""))</f>
        <v/>
      </c>
      <c r="H125" s="45"/>
    </row>
    <row r="126" customFormat="false" ht="15" hidden="false" customHeight="true" outlineLevel="0" collapsed="false">
      <c r="A126" s="5" t="s">
        <v>40</v>
      </c>
      <c r="B126" s="9" t="s">
        <v>171</v>
      </c>
      <c r="C126" s="41" t="n">
        <f aca="false">INDEX(Maos_por_spot!$L$5:$L$173,MATCH($B126,Maos_por_spot!$A$5:$A$173,0))</f>
        <v>1</v>
      </c>
      <c r="D126" s="43" t="str">
        <f aca="false">INDEX(Maos_por_spot!$M$5:$M$173,MATCH($B126,Maos_por_spot!$A$5:$A$173,0))</f>
        <v>3bet/call</v>
      </c>
      <c r="E126" s="40" t="n">
        <f aca="false">INDEX(Folds_total!$D$5:$D$173,MATCH($B126,Folds_total!$A$5:$A$173,0))</f>
        <v>7</v>
      </c>
      <c r="F126" s="44" t="n">
        <f aca="false">IF(E126="","",E126*C126)</f>
        <v>7</v>
      </c>
      <c r="G126" s="9" t="str">
        <f aca="false">IF(E126="","",IF(AND(C126&gt;=0.8,E126&gt;=$D$4),"Revisar: o solver quase sempre defende",""))</f>
        <v>Revisar: o solver quase sempre defende</v>
      </c>
      <c r="H126" s="45"/>
    </row>
    <row r="127" customFormat="false" ht="15" hidden="false" customHeight="true" outlineLevel="0" collapsed="false">
      <c r="A127" s="5" t="s">
        <v>40</v>
      </c>
      <c r="B127" s="9" t="s">
        <v>184</v>
      </c>
      <c r="C127" s="41" t="n">
        <f aca="false">INDEX(Maos_por_spot!$L$5:$L$173,MATCH($B127,Maos_por_spot!$A$5:$A$173,0))</f>
        <v>1</v>
      </c>
      <c r="D127" s="43" t="str">
        <f aca="false">INDEX(Maos_por_spot!$M$5:$M$173,MATCH($B127,Maos_por_spot!$A$5:$A$173,0))</f>
        <v>3bet/call</v>
      </c>
      <c r="E127" s="40" t="n">
        <f aca="false">INDEX(Folds_total!$D$5:$D$173,MATCH($B127,Folds_total!$A$5:$A$173,0))</f>
        <v>1</v>
      </c>
      <c r="F127" s="44" t="n">
        <f aca="false">IF(E127="","",E127*C127)</f>
        <v>1</v>
      </c>
      <c r="G127" s="9" t="str">
        <f aca="false">IF(E127="","",IF(AND(C127&gt;=0.8,E127&gt;=$D$4),"Revisar: o solver quase sempre defende",""))</f>
        <v/>
      </c>
      <c r="H127" s="45"/>
    </row>
    <row r="128" customFormat="false" ht="15" hidden="false" customHeight="true" outlineLevel="0" collapsed="false">
      <c r="A128" s="5" t="s">
        <v>40</v>
      </c>
      <c r="B128" s="9" t="s">
        <v>185</v>
      </c>
      <c r="C128" s="41" t="n">
        <f aca="false">INDEX(Maos_por_spot!$L$5:$L$173,MATCH($B128,Maos_por_spot!$A$5:$A$173,0))</f>
        <v>1</v>
      </c>
      <c r="D128" s="43" t="str">
        <f aca="false">INDEX(Maos_por_spot!$M$5:$M$173,MATCH($B128,Maos_por_spot!$A$5:$A$173,0))</f>
        <v>Call</v>
      </c>
      <c r="E128" s="40" t="n">
        <f aca="false">INDEX(Folds_total!$D$5:$D$173,MATCH($B128,Folds_total!$A$5:$A$173,0))</f>
        <v>3</v>
      </c>
      <c r="F128" s="44" t="n">
        <f aca="false">IF(E128="","",E128*C128)</f>
        <v>3</v>
      </c>
      <c r="G128" s="9" t="str">
        <f aca="false">IF(E128="","",IF(AND(C128&gt;=0.8,E128&gt;=$D$4),"Revisar: o solver quase sempre defende",""))</f>
        <v/>
      </c>
      <c r="H128" s="45"/>
    </row>
    <row r="129" customFormat="false" ht="15" hidden="false" customHeight="true" outlineLevel="0" collapsed="false">
      <c r="A129" s="5" t="s">
        <v>40</v>
      </c>
      <c r="B129" s="9" t="s">
        <v>198</v>
      </c>
      <c r="C129" s="41" t="n">
        <f aca="false">INDEX(Maos_por_spot!$L$5:$L$173,MATCH($B129,Maos_por_spot!$A$5:$A$173,0))</f>
        <v>1</v>
      </c>
      <c r="D129" s="43" t="str">
        <f aca="false">INDEX(Maos_por_spot!$M$5:$M$173,MATCH($B129,Maos_por_spot!$A$5:$A$173,0))</f>
        <v>Call</v>
      </c>
      <c r="E129" s="40" t="n">
        <f aca="false">INDEX(Folds_total!$D$5:$D$173,MATCH($B129,Folds_total!$A$5:$A$173,0))</f>
        <v>0</v>
      </c>
      <c r="F129" s="44" t="n">
        <f aca="false">IF(E129="","",E129*C129)</f>
        <v>0</v>
      </c>
      <c r="G129" s="9" t="str">
        <f aca="false">IF(E129="","",IF(AND(C129&gt;=0.8,E129&gt;=$D$4),"Revisar: o solver quase sempre defende",""))</f>
        <v/>
      </c>
      <c r="H129" s="45"/>
    </row>
    <row r="130" customFormat="false" ht="15" hidden="false" customHeight="true" outlineLevel="0" collapsed="false">
      <c r="A130" s="5" t="s">
        <v>40</v>
      </c>
      <c r="B130" s="9" t="s">
        <v>212</v>
      </c>
      <c r="C130" s="41" t="n">
        <f aca="false">INDEX(Maos_por_spot!$L$5:$L$173,MATCH($B130,Maos_por_spot!$A$5:$A$173,0))</f>
        <v>1</v>
      </c>
      <c r="D130" s="43" t="str">
        <f aca="false">INDEX(Maos_por_spot!$M$5:$M$173,MATCH($B130,Maos_por_spot!$A$5:$A$173,0))</f>
        <v>Call</v>
      </c>
      <c r="E130" s="40" t="n">
        <f aca="false">INDEX(Folds_total!$D$5:$D$173,MATCH($B130,Folds_total!$A$5:$A$173,0))</f>
        <v>1</v>
      </c>
      <c r="F130" s="44" t="n">
        <f aca="false">IF(E130="","",E130*C130)</f>
        <v>1</v>
      </c>
      <c r="G130" s="9" t="str">
        <f aca="false">IF(E130="","",IF(AND(C130&gt;=0.8,E130&gt;=$D$4),"Revisar: o solver quase sempre defende",""))</f>
        <v/>
      </c>
      <c r="H130" s="45"/>
    </row>
    <row r="131" customFormat="false" ht="15" hidden="false" customHeight="true" outlineLevel="0" collapsed="false">
      <c r="A131" s="5" t="s">
        <v>40</v>
      </c>
      <c r="B131" s="9" t="s">
        <v>213</v>
      </c>
      <c r="C131" s="41" t="n">
        <f aca="false">INDEX(Maos_por_spot!$L$5:$L$173,MATCH($B131,Maos_por_spot!$A$5:$A$173,0))</f>
        <v>0.4</v>
      </c>
      <c r="D131" s="43" t="str">
        <f aca="false">INDEX(Maos_por_spot!$M$5:$M$173,MATCH($B131,Maos_por_spot!$A$5:$A$173,0))</f>
        <v>Call</v>
      </c>
      <c r="E131" s="40" t="n">
        <f aca="false">INDEX(Folds_total!$D$5:$D$173,MATCH($B131,Folds_total!$A$5:$A$173,0))</f>
        <v>2</v>
      </c>
      <c r="F131" s="44" t="n">
        <f aca="false">IF(E131="","",E131*C131)</f>
        <v>0.8</v>
      </c>
      <c r="G131" s="9" t="str">
        <f aca="false">IF(E131="","",IF(AND(C131&gt;=0.8,E131&gt;=$D$4),"Revisar: o solver quase sempre defende",""))</f>
        <v/>
      </c>
      <c r="H131" s="45"/>
    </row>
    <row r="132" customFormat="false" ht="15" hidden="false" customHeight="true" outlineLevel="0" collapsed="false">
      <c r="A132" s="5" t="s">
        <v>40</v>
      </c>
      <c r="B132" s="9" t="s">
        <v>226</v>
      </c>
      <c r="C132" s="41" t="n">
        <f aca="false">INDEX(Maos_por_spot!$L$5:$L$173,MATCH($B132,Maos_por_spot!$A$5:$A$173,0))</f>
        <v>1</v>
      </c>
      <c r="D132" s="43" t="str">
        <f aca="false">INDEX(Maos_por_spot!$M$5:$M$173,MATCH($B132,Maos_por_spot!$A$5:$A$173,0))</f>
        <v>Call</v>
      </c>
      <c r="E132" s="40" t="n">
        <f aca="false">INDEX(Folds_total!$D$5:$D$173,MATCH($B132,Folds_total!$A$5:$A$173,0))</f>
        <v>2</v>
      </c>
      <c r="F132" s="44" t="n">
        <f aca="false">IF(E132="","",E132*C132)</f>
        <v>2</v>
      </c>
      <c r="G132" s="9" t="str">
        <f aca="false">IF(E132="","",IF(AND(C132&gt;=0.8,E132&gt;=$D$4),"Revisar: o solver quase sempre defende",""))</f>
        <v/>
      </c>
      <c r="H132" s="45"/>
    </row>
    <row r="133" customFormat="false" ht="15" hidden="false" customHeight="true" outlineLevel="0" collapsed="false">
      <c r="A133" s="5" t="s">
        <v>40</v>
      </c>
      <c r="B133" s="9" t="s">
        <v>240</v>
      </c>
      <c r="C133" s="41" t="n">
        <f aca="false">INDEX(Maos_por_spot!$L$5:$L$173,MATCH($B133,Maos_por_spot!$A$5:$A$173,0))</f>
        <v>1</v>
      </c>
      <c r="D133" s="43" t="str">
        <f aca="false">INDEX(Maos_por_spot!$M$5:$M$173,MATCH($B133,Maos_por_spot!$A$5:$A$173,0))</f>
        <v>Call</v>
      </c>
      <c r="E133" s="40" t="n">
        <f aca="false">INDEX(Folds_total!$D$5:$D$173,MATCH($B133,Folds_total!$A$5:$A$173,0))</f>
        <v>7</v>
      </c>
      <c r="F133" s="44" t="n">
        <f aca="false">IF(E133="","",E133*C133)</f>
        <v>7</v>
      </c>
      <c r="G133" s="9" t="str">
        <f aca="false">IF(E133="","",IF(AND(C133&gt;=0.8,E133&gt;=$D$4),"Revisar: o solver quase sempre defende",""))</f>
        <v>Revisar: o solver quase sempre defende</v>
      </c>
      <c r="H133" s="45"/>
    </row>
    <row r="134" customFormat="false" ht="15" hidden="false" customHeight="true" outlineLevel="0" collapsed="false">
      <c r="A134" s="5" t="s">
        <v>40</v>
      </c>
      <c r="B134" s="9" t="s">
        <v>254</v>
      </c>
      <c r="C134" s="41" t="n">
        <f aca="false">INDEX(Maos_por_spot!$L$5:$L$173,MATCH($B134,Maos_por_spot!$A$5:$A$173,0))</f>
        <v>1</v>
      </c>
      <c r="D134" s="43" t="str">
        <f aca="false">INDEX(Maos_por_spot!$M$5:$M$173,MATCH($B134,Maos_por_spot!$A$5:$A$173,0))</f>
        <v>Call</v>
      </c>
      <c r="E134" s="40" t="n">
        <f aca="false">INDEX(Folds_total!$D$5:$D$173,MATCH($B134,Folds_total!$A$5:$A$173,0))</f>
        <v>5</v>
      </c>
      <c r="F134" s="44" t="n">
        <f aca="false">IF(E134="","",E134*C134)</f>
        <v>5</v>
      </c>
      <c r="G134" s="9" t="str">
        <f aca="false">IF(E134="","",IF(AND(C134&gt;=0.8,E134&gt;=$D$4),"Revisar: o solver quase sempre defende",""))</f>
        <v/>
      </c>
      <c r="H134" s="45"/>
    </row>
    <row r="135" customFormat="false" ht="15" hidden="false" customHeight="true" outlineLevel="0" collapsed="false">
      <c r="A135" s="5" t="s">
        <v>41</v>
      </c>
      <c r="B135" s="9" t="s">
        <v>86</v>
      </c>
      <c r="C135" s="41" t="n">
        <f aca="false">INDEX(Maos_por_spot!$P$5:$P$173,MATCH($B135,Maos_por_spot!$A$5:$A$173,0))</f>
        <v>1</v>
      </c>
      <c r="D135" s="43" t="str">
        <f aca="false">INDEX(Maos_por_spot!$Q$5:$Q$173,MATCH($B135,Maos_por_spot!$A$5:$A$173,0))</f>
        <v>3bet</v>
      </c>
      <c r="E135" s="40" t="n">
        <f aca="false">INDEX(Folds_total!$E$5:$E$173,MATCH($B135,Folds_total!$A$5:$A$173,0))</f>
        <v>0</v>
      </c>
      <c r="F135" s="44" t="n">
        <f aca="false">IF(E135="","",E135*C135)</f>
        <v>0</v>
      </c>
      <c r="G135" s="9" t="str">
        <f aca="false">IF(E135="","",IF(AND(C135&gt;=0.8,E135&gt;=$D$4),"Revisar: o solver quase sempre defende",""))</f>
        <v/>
      </c>
      <c r="H135" s="45"/>
    </row>
    <row r="136" customFormat="false" ht="15" hidden="false" customHeight="true" outlineLevel="0" collapsed="false">
      <c r="A136" s="5" t="s">
        <v>41</v>
      </c>
      <c r="B136" s="9" t="s">
        <v>87</v>
      </c>
      <c r="C136" s="41" t="n">
        <f aca="false">INDEX(Maos_por_spot!$P$5:$P$173,MATCH($B136,Maos_por_spot!$A$5:$A$173,0))</f>
        <v>1</v>
      </c>
      <c r="D136" s="43" t="str">
        <f aca="false">INDEX(Maos_por_spot!$Q$5:$Q$173,MATCH($B136,Maos_por_spot!$A$5:$A$173,0))</f>
        <v>3bet</v>
      </c>
      <c r="E136" s="40" t="n">
        <f aca="false">INDEX(Folds_total!$E$5:$E$173,MATCH($B136,Folds_total!$A$5:$A$173,0))</f>
        <v>0</v>
      </c>
      <c r="F136" s="44" t="n">
        <f aca="false">IF(E136="","",E136*C136)</f>
        <v>0</v>
      </c>
      <c r="G136" s="9" t="str">
        <f aca="false">IF(E136="","",IF(AND(C136&gt;=0.8,E136&gt;=$D$4),"Revisar: o solver quase sempre defende",""))</f>
        <v/>
      </c>
      <c r="H136" s="45"/>
    </row>
    <row r="137" customFormat="false" ht="15" hidden="false" customHeight="true" outlineLevel="0" collapsed="false">
      <c r="A137" s="5" t="s">
        <v>41</v>
      </c>
      <c r="B137" s="9" t="s">
        <v>88</v>
      </c>
      <c r="C137" s="41" t="n">
        <f aca="false">INDEX(Maos_por_spot!$P$5:$P$173,MATCH($B137,Maos_por_spot!$A$5:$A$173,0))</f>
        <v>1</v>
      </c>
      <c r="D137" s="43" t="str">
        <f aca="false">INDEX(Maos_por_spot!$Q$5:$Q$173,MATCH($B137,Maos_por_spot!$A$5:$A$173,0))</f>
        <v>3bet</v>
      </c>
      <c r="E137" s="40" t="n">
        <f aca="false">INDEX(Folds_total!$E$5:$E$173,MATCH($B137,Folds_total!$A$5:$A$173,0))</f>
        <v>0</v>
      </c>
      <c r="F137" s="44" t="n">
        <f aca="false">IF(E137="","",E137*C137)</f>
        <v>0</v>
      </c>
      <c r="G137" s="9" t="str">
        <f aca="false">IF(E137="","",IF(AND(C137&gt;=0.8,E137&gt;=$D$4),"Revisar: o solver quase sempre defende",""))</f>
        <v/>
      </c>
      <c r="H137" s="45"/>
    </row>
    <row r="138" customFormat="false" ht="15" hidden="false" customHeight="true" outlineLevel="0" collapsed="false">
      <c r="A138" s="5" t="s">
        <v>41</v>
      </c>
      <c r="B138" s="9" t="s">
        <v>89</v>
      </c>
      <c r="C138" s="41" t="n">
        <f aca="false">INDEX(Maos_por_spot!$P$5:$P$173,MATCH($B138,Maos_por_spot!$A$5:$A$173,0))</f>
        <v>1</v>
      </c>
      <c r="D138" s="43" t="str">
        <f aca="false">INDEX(Maos_por_spot!$Q$5:$Q$173,MATCH($B138,Maos_por_spot!$A$5:$A$173,0))</f>
        <v>3bet</v>
      </c>
      <c r="E138" s="40" t="n">
        <f aca="false">INDEX(Folds_total!$E$5:$E$173,MATCH($B138,Folds_total!$A$5:$A$173,0))</f>
        <v>0</v>
      </c>
      <c r="F138" s="44" t="n">
        <f aca="false">IF(E138="","",E138*C138)</f>
        <v>0</v>
      </c>
      <c r="G138" s="9" t="str">
        <f aca="false">IF(E138="","",IF(AND(C138&gt;=0.8,E138&gt;=$D$4),"Revisar: o solver quase sempre defende",""))</f>
        <v/>
      </c>
      <c r="H138" s="45"/>
    </row>
    <row r="139" customFormat="false" ht="15" hidden="false" customHeight="true" outlineLevel="0" collapsed="false">
      <c r="A139" s="5" t="s">
        <v>41</v>
      </c>
      <c r="B139" s="9" t="s">
        <v>90</v>
      </c>
      <c r="C139" s="41" t="n">
        <f aca="false">INDEX(Maos_por_spot!$P$5:$P$173,MATCH($B139,Maos_por_spot!$A$5:$A$173,0))</f>
        <v>1</v>
      </c>
      <c r="D139" s="43" t="str">
        <f aca="false">INDEX(Maos_por_spot!$Q$5:$Q$173,MATCH($B139,Maos_por_spot!$A$5:$A$173,0))</f>
        <v>3bet</v>
      </c>
      <c r="E139" s="40" t="n">
        <f aca="false">INDEX(Folds_total!$E$5:$E$173,MATCH($B139,Folds_total!$A$5:$A$173,0))</f>
        <v>0</v>
      </c>
      <c r="F139" s="44" t="n">
        <f aca="false">IF(E139="","",E139*C139)</f>
        <v>0</v>
      </c>
      <c r="G139" s="9" t="str">
        <f aca="false">IF(E139="","",IF(AND(C139&gt;=0.8,E139&gt;=$D$4),"Revisar: o solver quase sempre defende",""))</f>
        <v/>
      </c>
      <c r="H139" s="45"/>
    </row>
    <row r="140" customFormat="false" ht="15" hidden="false" customHeight="true" outlineLevel="0" collapsed="false">
      <c r="A140" s="5" t="s">
        <v>41</v>
      </c>
      <c r="B140" s="9" t="s">
        <v>91</v>
      </c>
      <c r="C140" s="41" t="n">
        <f aca="false">INDEX(Maos_por_spot!$P$5:$P$173,MATCH($B140,Maos_por_spot!$A$5:$A$173,0))</f>
        <v>1</v>
      </c>
      <c r="D140" s="43" t="str">
        <f aca="false">INDEX(Maos_por_spot!$Q$5:$Q$173,MATCH($B140,Maos_por_spot!$A$5:$A$173,0))</f>
        <v>Call</v>
      </c>
      <c r="E140" s="40" t="n">
        <f aca="false">INDEX(Folds_total!$E$5:$E$173,MATCH($B140,Folds_total!$A$5:$A$173,0))</f>
        <v>0</v>
      </c>
      <c r="F140" s="44" t="n">
        <f aca="false">IF(E140="","",E140*C140)</f>
        <v>0</v>
      </c>
      <c r="G140" s="9" t="str">
        <f aca="false">IF(E140="","",IF(AND(C140&gt;=0.8,E140&gt;=$D$4),"Revisar: o solver quase sempre defende",""))</f>
        <v/>
      </c>
      <c r="H140" s="45"/>
    </row>
    <row r="141" customFormat="false" ht="15" hidden="false" customHeight="true" outlineLevel="0" collapsed="false">
      <c r="A141" s="5" t="s">
        <v>41</v>
      </c>
      <c r="B141" s="9" t="s">
        <v>92</v>
      </c>
      <c r="C141" s="41" t="n">
        <f aca="false">INDEX(Maos_por_spot!$P$5:$P$173,MATCH($B141,Maos_por_spot!$A$5:$A$173,0))</f>
        <v>1</v>
      </c>
      <c r="D141" s="43" t="str">
        <f aca="false">INDEX(Maos_por_spot!$Q$5:$Q$173,MATCH($B141,Maos_por_spot!$A$5:$A$173,0))</f>
        <v>Call</v>
      </c>
      <c r="E141" s="40" t="n">
        <f aca="false">INDEX(Folds_total!$E$5:$E$173,MATCH($B141,Folds_total!$A$5:$A$173,0))</f>
        <v>0</v>
      </c>
      <c r="F141" s="44" t="n">
        <f aca="false">IF(E141="","",E141*C141)</f>
        <v>0</v>
      </c>
      <c r="G141" s="9" t="str">
        <f aca="false">IF(E141="","",IF(AND(C141&gt;=0.8,E141&gt;=$D$4),"Revisar: o solver quase sempre defende",""))</f>
        <v/>
      </c>
      <c r="H141" s="45"/>
    </row>
    <row r="142" customFormat="false" ht="15" hidden="false" customHeight="true" outlineLevel="0" collapsed="false">
      <c r="A142" s="5" t="s">
        <v>41</v>
      </c>
      <c r="B142" s="9" t="s">
        <v>93</v>
      </c>
      <c r="C142" s="41" t="n">
        <f aca="false">INDEX(Maos_por_spot!$P$5:$P$173,MATCH($B142,Maos_por_spot!$A$5:$A$173,0))</f>
        <v>1</v>
      </c>
      <c r="D142" s="43" t="str">
        <f aca="false">INDEX(Maos_por_spot!$Q$5:$Q$173,MATCH($B142,Maos_por_spot!$A$5:$A$173,0))</f>
        <v>Call</v>
      </c>
      <c r="E142" s="40" t="n">
        <f aca="false">INDEX(Folds_total!$E$5:$E$173,MATCH($B142,Folds_total!$A$5:$A$173,0))</f>
        <v>1</v>
      </c>
      <c r="F142" s="44" t="n">
        <f aca="false">IF(E142="","",E142*C142)</f>
        <v>1</v>
      </c>
      <c r="G142" s="9" t="str">
        <f aca="false">IF(E142="","",IF(AND(C142&gt;=0.8,E142&gt;=$D$4),"Revisar: o solver quase sempre defende",""))</f>
        <v/>
      </c>
      <c r="H142" s="45"/>
    </row>
    <row r="143" customFormat="false" ht="15" hidden="false" customHeight="true" outlineLevel="0" collapsed="false">
      <c r="A143" s="5" t="s">
        <v>41</v>
      </c>
      <c r="B143" s="9" t="s">
        <v>94</v>
      </c>
      <c r="C143" s="41" t="n">
        <f aca="false">INDEX(Maos_por_spot!$P$5:$P$173,MATCH($B143,Maos_por_spot!$A$5:$A$173,0))</f>
        <v>1</v>
      </c>
      <c r="D143" s="43" t="str">
        <f aca="false">INDEX(Maos_por_spot!$Q$5:$Q$173,MATCH($B143,Maos_por_spot!$A$5:$A$173,0))</f>
        <v>3bet/call</v>
      </c>
      <c r="E143" s="40" t="n">
        <f aca="false">INDEX(Folds_total!$E$5:$E$173,MATCH($B143,Folds_total!$A$5:$A$173,0))</f>
        <v>0</v>
      </c>
      <c r="F143" s="44" t="n">
        <f aca="false">IF(E143="","",E143*C143)</f>
        <v>0</v>
      </c>
      <c r="G143" s="9" t="str">
        <f aca="false">IF(E143="","",IF(AND(C143&gt;=0.8,E143&gt;=$D$4),"Revisar: o solver quase sempre defende",""))</f>
        <v/>
      </c>
      <c r="H143" s="45"/>
    </row>
    <row r="144" customFormat="false" ht="15" hidden="false" customHeight="true" outlineLevel="0" collapsed="false">
      <c r="A144" s="5" t="s">
        <v>41</v>
      </c>
      <c r="B144" s="9" t="s">
        <v>95</v>
      </c>
      <c r="C144" s="41" t="n">
        <f aca="false">INDEX(Maos_por_spot!$P$5:$P$173,MATCH($B144,Maos_por_spot!$A$5:$A$173,0))</f>
        <v>1</v>
      </c>
      <c r="D144" s="43" t="str">
        <f aca="false">INDEX(Maos_por_spot!$Q$5:$Q$173,MATCH($B144,Maos_por_spot!$A$5:$A$173,0))</f>
        <v>3bet/call</v>
      </c>
      <c r="E144" s="40" t="n">
        <f aca="false">INDEX(Folds_total!$E$5:$E$173,MATCH($B144,Folds_total!$A$5:$A$173,0))</f>
        <v>0</v>
      </c>
      <c r="F144" s="44" t="n">
        <f aca="false">IF(E144="","",E144*C144)</f>
        <v>0</v>
      </c>
      <c r="G144" s="9" t="str">
        <f aca="false">IF(E144="","",IF(AND(C144&gt;=0.8,E144&gt;=$D$4),"Revisar: o solver quase sempre defende",""))</f>
        <v/>
      </c>
      <c r="H144" s="45"/>
    </row>
    <row r="145" customFormat="false" ht="15" hidden="false" customHeight="true" outlineLevel="0" collapsed="false">
      <c r="A145" s="5" t="s">
        <v>41</v>
      </c>
      <c r="B145" s="9" t="s">
        <v>96</v>
      </c>
      <c r="C145" s="41" t="n">
        <f aca="false">INDEX(Maos_por_spot!$P$5:$P$173,MATCH($B145,Maos_por_spot!$A$5:$A$173,0))</f>
        <v>1</v>
      </c>
      <c r="D145" s="43" t="str">
        <f aca="false">INDEX(Maos_por_spot!$Q$5:$Q$173,MATCH($B145,Maos_por_spot!$A$5:$A$173,0))</f>
        <v>Call</v>
      </c>
      <c r="E145" s="40" t="n">
        <f aca="false">INDEX(Folds_total!$E$5:$E$173,MATCH($B145,Folds_total!$A$5:$A$173,0))</f>
        <v>0</v>
      </c>
      <c r="F145" s="44" t="n">
        <f aca="false">IF(E145="","",E145*C145)</f>
        <v>0</v>
      </c>
      <c r="G145" s="9" t="str">
        <f aca="false">IF(E145="","",IF(AND(C145&gt;=0.8,E145&gt;=$D$4),"Revisar: o solver quase sempre defende",""))</f>
        <v/>
      </c>
      <c r="H145" s="45"/>
    </row>
    <row r="146" customFormat="false" ht="15" hidden="false" customHeight="true" outlineLevel="0" collapsed="false">
      <c r="A146" s="5" t="s">
        <v>41</v>
      </c>
      <c r="B146" s="9" t="s">
        <v>97</v>
      </c>
      <c r="C146" s="41" t="n">
        <f aca="false">INDEX(Maos_por_spot!$P$5:$P$173,MATCH($B146,Maos_por_spot!$A$5:$A$173,0))</f>
        <v>1</v>
      </c>
      <c r="D146" s="43" t="str">
        <f aca="false">INDEX(Maos_por_spot!$Q$5:$Q$173,MATCH($B146,Maos_por_spot!$A$5:$A$173,0))</f>
        <v>3bet/call</v>
      </c>
      <c r="E146" s="40" t="n">
        <f aca="false">INDEX(Folds_total!$E$5:$E$173,MATCH($B146,Folds_total!$A$5:$A$173,0))</f>
        <v>0</v>
      </c>
      <c r="F146" s="44" t="n">
        <f aca="false">IF(E146="","",E146*C146)</f>
        <v>0</v>
      </c>
      <c r="G146" s="9" t="str">
        <f aca="false">IF(E146="","",IF(AND(C146&gt;=0.8,E146&gt;=$D$4),"Revisar: o solver quase sempre defende",""))</f>
        <v/>
      </c>
      <c r="H146" s="45"/>
    </row>
    <row r="147" customFormat="false" ht="15" hidden="false" customHeight="true" outlineLevel="0" collapsed="false">
      <c r="A147" s="5" t="s">
        <v>41</v>
      </c>
      <c r="B147" s="9" t="s">
        <v>98</v>
      </c>
      <c r="C147" s="41" t="n">
        <f aca="false">INDEX(Maos_por_spot!$P$5:$P$173,MATCH($B147,Maos_por_spot!$A$5:$A$173,0))</f>
        <v>1</v>
      </c>
      <c r="D147" s="43" t="str">
        <f aca="false">INDEX(Maos_por_spot!$Q$5:$Q$173,MATCH($B147,Maos_por_spot!$A$5:$A$173,0))</f>
        <v>3bet/call</v>
      </c>
      <c r="E147" s="40" t="n">
        <f aca="false">INDEX(Folds_total!$E$5:$E$173,MATCH($B147,Folds_total!$A$5:$A$173,0))</f>
        <v>1</v>
      </c>
      <c r="F147" s="44" t="n">
        <f aca="false">IF(E147="","",E147*C147)</f>
        <v>1</v>
      </c>
      <c r="G147" s="9" t="str">
        <f aca="false">IF(E147="","",IF(AND(C147&gt;=0.8,E147&gt;=$D$4),"Revisar: o solver quase sempre defende",""))</f>
        <v/>
      </c>
      <c r="H147" s="45"/>
    </row>
    <row r="148" customFormat="false" ht="15" hidden="false" customHeight="true" outlineLevel="0" collapsed="false">
      <c r="A148" s="5" t="s">
        <v>41</v>
      </c>
      <c r="B148" s="9" t="s">
        <v>99</v>
      </c>
      <c r="C148" s="41" t="n">
        <f aca="false">INDEX(Maos_por_spot!$P$5:$P$173,MATCH($B148,Maos_por_spot!$A$5:$A$173,0))</f>
        <v>1</v>
      </c>
      <c r="D148" s="43" t="str">
        <f aca="false">INDEX(Maos_por_spot!$Q$5:$Q$173,MATCH($B148,Maos_por_spot!$A$5:$A$173,0))</f>
        <v>3bet</v>
      </c>
      <c r="E148" s="40" t="n">
        <f aca="false">INDEX(Folds_total!$E$5:$E$173,MATCH($B148,Folds_total!$A$5:$A$173,0))</f>
        <v>1</v>
      </c>
      <c r="F148" s="44" t="n">
        <f aca="false">IF(E148="","",E148*C148)</f>
        <v>1</v>
      </c>
      <c r="G148" s="9" t="str">
        <f aca="false">IF(E148="","",IF(AND(C148&gt;=0.8,E148&gt;=$D$4),"Revisar: o solver quase sempre defende",""))</f>
        <v/>
      </c>
      <c r="H148" s="45"/>
    </row>
    <row r="149" customFormat="false" ht="15" hidden="false" customHeight="true" outlineLevel="0" collapsed="false">
      <c r="A149" s="5" t="s">
        <v>41</v>
      </c>
      <c r="B149" s="9" t="s">
        <v>100</v>
      </c>
      <c r="C149" s="41" t="n">
        <f aca="false">INDEX(Maos_por_spot!$P$5:$P$173,MATCH($B149,Maos_por_spot!$A$5:$A$173,0))</f>
        <v>1</v>
      </c>
      <c r="D149" s="43" t="str">
        <f aca="false">INDEX(Maos_por_spot!$Q$5:$Q$173,MATCH($B149,Maos_por_spot!$A$5:$A$173,0))</f>
        <v>3bet</v>
      </c>
      <c r="E149" s="40" t="n">
        <f aca="false">INDEX(Folds_total!$E$5:$E$173,MATCH($B149,Folds_total!$A$5:$A$173,0))</f>
        <v>0</v>
      </c>
      <c r="F149" s="44" t="n">
        <f aca="false">IF(E149="","",E149*C149)</f>
        <v>0</v>
      </c>
      <c r="G149" s="9" t="str">
        <f aca="false">IF(E149="","",IF(AND(C149&gt;=0.8,E149&gt;=$D$4),"Revisar: o solver quase sempre defende",""))</f>
        <v/>
      </c>
      <c r="H149" s="45"/>
    </row>
    <row r="150" customFormat="false" ht="15" hidden="false" customHeight="true" outlineLevel="0" collapsed="false">
      <c r="A150" s="5" t="s">
        <v>41</v>
      </c>
      <c r="B150" s="9" t="s">
        <v>101</v>
      </c>
      <c r="C150" s="41" t="n">
        <f aca="false">INDEX(Maos_por_spot!$P$5:$P$173,MATCH($B150,Maos_por_spot!$A$5:$A$173,0))</f>
        <v>1</v>
      </c>
      <c r="D150" s="43" t="str">
        <f aca="false">INDEX(Maos_por_spot!$Q$5:$Q$173,MATCH($B150,Maos_por_spot!$A$5:$A$173,0))</f>
        <v>3bet</v>
      </c>
      <c r="E150" s="40" t="n">
        <f aca="false">INDEX(Folds_total!$E$5:$E$173,MATCH($B150,Folds_total!$A$5:$A$173,0))</f>
        <v>0</v>
      </c>
      <c r="F150" s="44" t="n">
        <f aca="false">IF(E150="","",E150*C150)</f>
        <v>0</v>
      </c>
      <c r="G150" s="9" t="str">
        <f aca="false">IF(E150="","",IF(AND(C150&gt;=0.8,E150&gt;=$D$4),"Revisar: o solver quase sempre defende",""))</f>
        <v/>
      </c>
      <c r="H150" s="45"/>
    </row>
    <row r="151" customFormat="false" ht="15" hidden="false" customHeight="true" outlineLevel="0" collapsed="false">
      <c r="A151" s="5" t="s">
        <v>41</v>
      </c>
      <c r="B151" s="9" t="s">
        <v>102</v>
      </c>
      <c r="C151" s="41" t="n">
        <f aca="false">INDEX(Maos_por_spot!$P$5:$P$173,MATCH($B151,Maos_por_spot!$A$5:$A$173,0))</f>
        <v>1</v>
      </c>
      <c r="D151" s="43" t="str">
        <f aca="false">INDEX(Maos_por_spot!$Q$5:$Q$173,MATCH($B151,Maos_por_spot!$A$5:$A$173,0))</f>
        <v>3bet/call</v>
      </c>
      <c r="E151" s="40" t="n">
        <f aca="false">INDEX(Folds_total!$E$5:$E$173,MATCH($B151,Folds_total!$A$5:$A$173,0))</f>
        <v>0</v>
      </c>
      <c r="F151" s="44" t="n">
        <f aca="false">IF(E151="","",E151*C151)</f>
        <v>0</v>
      </c>
      <c r="G151" s="9" t="str">
        <f aca="false">IF(E151="","",IF(AND(C151&gt;=0.8,E151&gt;=$D$4),"Revisar: o solver quase sempre defende",""))</f>
        <v/>
      </c>
      <c r="H151" s="45"/>
    </row>
    <row r="152" customFormat="false" ht="15" hidden="false" customHeight="true" outlineLevel="0" collapsed="false">
      <c r="A152" s="5" t="s">
        <v>41</v>
      </c>
      <c r="B152" s="9" t="s">
        <v>103</v>
      </c>
      <c r="C152" s="41" t="n">
        <f aca="false">INDEX(Maos_por_spot!$P$5:$P$173,MATCH($B152,Maos_por_spot!$A$5:$A$173,0))</f>
        <v>1</v>
      </c>
      <c r="D152" s="43" t="str">
        <f aca="false">INDEX(Maos_por_spot!$Q$5:$Q$173,MATCH($B152,Maos_por_spot!$A$5:$A$173,0))</f>
        <v>3bet/call</v>
      </c>
      <c r="E152" s="40" t="n">
        <f aca="false">INDEX(Folds_total!$E$5:$E$173,MATCH($B152,Folds_total!$A$5:$A$173,0))</f>
        <v>0</v>
      </c>
      <c r="F152" s="44" t="n">
        <f aca="false">IF(E152="","",E152*C152)</f>
        <v>0</v>
      </c>
      <c r="G152" s="9" t="str">
        <f aca="false">IF(E152="","",IF(AND(C152&gt;=0.8,E152&gt;=$D$4),"Revisar: o solver quase sempre defende",""))</f>
        <v/>
      </c>
      <c r="H152" s="45"/>
    </row>
    <row r="153" customFormat="false" ht="15" hidden="false" customHeight="true" outlineLevel="0" collapsed="false">
      <c r="A153" s="5" t="s">
        <v>41</v>
      </c>
      <c r="B153" s="9" t="s">
        <v>104</v>
      </c>
      <c r="C153" s="41" t="n">
        <f aca="false">INDEX(Maos_por_spot!$P$5:$P$173,MATCH($B153,Maos_por_spot!$A$5:$A$173,0))</f>
        <v>1</v>
      </c>
      <c r="D153" s="43" t="str">
        <f aca="false">INDEX(Maos_por_spot!$Q$5:$Q$173,MATCH($B153,Maos_por_spot!$A$5:$A$173,0))</f>
        <v>Call</v>
      </c>
      <c r="E153" s="40" t="n">
        <f aca="false">INDEX(Folds_total!$E$5:$E$173,MATCH($B153,Folds_total!$A$5:$A$173,0))</f>
        <v>1</v>
      </c>
      <c r="F153" s="44" t="n">
        <f aca="false">IF(E153="","",E153*C153)</f>
        <v>1</v>
      </c>
      <c r="G153" s="9" t="str">
        <f aca="false">IF(E153="","",IF(AND(C153&gt;=0.8,E153&gt;=$D$4),"Revisar: o solver quase sempre defende",""))</f>
        <v/>
      </c>
      <c r="H153" s="45"/>
    </row>
    <row r="154" customFormat="false" ht="15" hidden="false" customHeight="true" outlineLevel="0" collapsed="false">
      <c r="A154" s="5" t="s">
        <v>41</v>
      </c>
      <c r="B154" s="9" t="s">
        <v>105</v>
      </c>
      <c r="C154" s="41" t="n">
        <f aca="false">INDEX(Maos_por_spot!$P$5:$P$173,MATCH($B154,Maos_por_spot!$A$5:$A$173,0))</f>
        <v>1</v>
      </c>
      <c r="D154" s="43" t="str">
        <f aca="false">INDEX(Maos_por_spot!$Q$5:$Q$173,MATCH($B154,Maos_por_spot!$A$5:$A$173,0))</f>
        <v>Call</v>
      </c>
      <c r="E154" s="40" t="n">
        <f aca="false">INDEX(Folds_total!$E$5:$E$173,MATCH($B154,Folds_total!$A$5:$A$173,0))</f>
        <v>1</v>
      </c>
      <c r="F154" s="44" t="n">
        <f aca="false">IF(E154="","",E154*C154)</f>
        <v>1</v>
      </c>
      <c r="G154" s="9" t="str">
        <f aca="false">IF(E154="","",IF(AND(C154&gt;=0.8,E154&gt;=$D$4),"Revisar: o solver quase sempre defende",""))</f>
        <v/>
      </c>
      <c r="H154" s="45"/>
    </row>
    <row r="155" customFormat="false" ht="15" hidden="false" customHeight="true" outlineLevel="0" collapsed="false">
      <c r="A155" s="5" t="s">
        <v>41</v>
      </c>
      <c r="B155" s="9" t="s">
        <v>106</v>
      </c>
      <c r="C155" s="41" t="n">
        <f aca="false">INDEX(Maos_por_spot!$P$5:$P$173,MATCH($B155,Maos_por_spot!$A$5:$A$173,0))</f>
        <v>1</v>
      </c>
      <c r="D155" s="43" t="str">
        <f aca="false">INDEX(Maos_por_spot!$Q$5:$Q$173,MATCH($B155,Maos_por_spot!$A$5:$A$173,0))</f>
        <v>3bet/call</v>
      </c>
      <c r="E155" s="40" t="n">
        <f aca="false">INDEX(Folds_total!$E$5:$E$173,MATCH($B155,Folds_total!$A$5:$A$173,0))</f>
        <v>0</v>
      </c>
      <c r="F155" s="44" t="n">
        <f aca="false">IF(E155="","",E155*C155)</f>
        <v>0</v>
      </c>
      <c r="G155" s="9" t="str">
        <f aca="false">IF(E155="","",IF(AND(C155&gt;=0.8,E155&gt;=$D$4),"Revisar: o solver quase sempre defende",""))</f>
        <v/>
      </c>
      <c r="H155" s="45"/>
    </row>
    <row r="156" customFormat="false" ht="15" hidden="false" customHeight="true" outlineLevel="0" collapsed="false">
      <c r="A156" s="5" t="s">
        <v>41</v>
      </c>
      <c r="B156" s="9" t="s">
        <v>107</v>
      </c>
      <c r="C156" s="41" t="n">
        <f aca="false">INDEX(Maos_por_spot!$P$5:$P$173,MATCH($B156,Maos_por_spot!$A$5:$A$173,0))</f>
        <v>1</v>
      </c>
      <c r="D156" s="43" t="str">
        <f aca="false">INDEX(Maos_por_spot!$Q$5:$Q$173,MATCH($B156,Maos_por_spot!$A$5:$A$173,0))</f>
        <v>3bet</v>
      </c>
      <c r="E156" s="40" t="n">
        <f aca="false">INDEX(Folds_total!$E$5:$E$173,MATCH($B156,Folds_total!$A$5:$A$173,0))</f>
        <v>4</v>
      </c>
      <c r="F156" s="44" t="n">
        <f aca="false">IF(E156="","",E156*C156)</f>
        <v>4</v>
      </c>
      <c r="G156" s="9" t="str">
        <f aca="false">IF(E156="","",IF(AND(C156&gt;=0.8,E156&gt;=$D$4),"Revisar: o solver quase sempre defende",""))</f>
        <v/>
      </c>
      <c r="H156" s="45"/>
    </row>
    <row r="157" customFormat="false" ht="15" hidden="false" customHeight="true" outlineLevel="0" collapsed="false">
      <c r="A157" s="5" t="s">
        <v>41</v>
      </c>
      <c r="B157" s="9" t="s">
        <v>108</v>
      </c>
      <c r="C157" s="41" t="n">
        <f aca="false">INDEX(Maos_por_spot!$P$5:$P$173,MATCH($B157,Maos_por_spot!$A$5:$A$173,0))</f>
        <v>1</v>
      </c>
      <c r="D157" s="43" t="str">
        <f aca="false">INDEX(Maos_por_spot!$Q$5:$Q$173,MATCH($B157,Maos_por_spot!$A$5:$A$173,0))</f>
        <v>3bet/call</v>
      </c>
      <c r="E157" s="40" t="n">
        <f aca="false">INDEX(Folds_total!$E$5:$E$173,MATCH($B157,Folds_total!$A$5:$A$173,0))</f>
        <v>9</v>
      </c>
      <c r="F157" s="44" t="n">
        <f aca="false">IF(E157="","",E157*C157)</f>
        <v>9</v>
      </c>
      <c r="G157" s="9" t="str">
        <f aca="false">IF(E157="","",IF(AND(C157&gt;=0.8,E157&gt;=$D$4),"Revisar: o solver quase sempre defende",""))</f>
        <v>Revisar: o solver quase sempre defende</v>
      </c>
      <c r="H157" s="45"/>
    </row>
    <row r="158" customFormat="false" ht="15" hidden="false" customHeight="true" outlineLevel="0" collapsed="false">
      <c r="A158" s="5" t="s">
        <v>41</v>
      </c>
      <c r="B158" s="9" t="s">
        <v>109</v>
      </c>
      <c r="C158" s="41" t="n">
        <f aca="false">INDEX(Maos_por_spot!$P$5:$P$173,MATCH($B158,Maos_por_spot!$A$5:$A$173,0))</f>
        <v>1</v>
      </c>
      <c r="D158" s="43" t="str">
        <f aca="false">INDEX(Maos_por_spot!$Q$5:$Q$173,MATCH($B158,Maos_por_spot!$A$5:$A$173,0))</f>
        <v>3bet/call</v>
      </c>
      <c r="E158" s="40" t="n">
        <f aca="false">INDEX(Folds_total!$E$5:$E$173,MATCH($B158,Folds_total!$A$5:$A$173,0))</f>
        <v>3</v>
      </c>
      <c r="F158" s="44" t="n">
        <f aca="false">IF(E158="","",E158*C158)</f>
        <v>3</v>
      </c>
      <c r="G158" s="9" t="str">
        <f aca="false">IF(E158="","",IF(AND(C158&gt;=0.8,E158&gt;=$D$4),"Revisar: o solver quase sempre defende",""))</f>
        <v/>
      </c>
      <c r="H158" s="45"/>
    </row>
    <row r="159" customFormat="false" ht="15" hidden="false" customHeight="true" outlineLevel="0" collapsed="false">
      <c r="A159" s="5" t="s">
        <v>41</v>
      </c>
      <c r="B159" s="9" t="s">
        <v>112</v>
      </c>
      <c r="C159" s="41" t="n">
        <f aca="false">INDEX(Maos_por_spot!$P$5:$P$173,MATCH($B159,Maos_por_spot!$A$5:$A$173,0))</f>
        <v>1</v>
      </c>
      <c r="D159" s="43" t="str">
        <f aca="false">INDEX(Maos_por_spot!$Q$5:$Q$173,MATCH($B159,Maos_por_spot!$A$5:$A$173,0))</f>
        <v>3bet</v>
      </c>
      <c r="E159" s="40" t="n">
        <f aca="false">INDEX(Folds_total!$E$5:$E$173,MATCH($B159,Folds_total!$A$5:$A$173,0))</f>
        <v>0</v>
      </c>
      <c r="F159" s="44" t="n">
        <f aca="false">IF(E159="","",E159*C159)</f>
        <v>0</v>
      </c>
      <c r="G159" s="9" t="str">
        <f aca="false">IF(E159="","",IF(AND(C159&gt;=0.8,E159&gt;=$D$4),"Revisar: o solver quase sempre defende",""))</f>
        <v/>
      </c>
      <c r="H159" s="45"/>
    </row>
    <row r="160" customFormat="false" ht="15" hidden="false" customHeight="true" outlineLevel="0" collapsed="false">
      <c r="A160" s="5" t="s">
        <v>41</v>
      </c>
      <c r="B160" s="9" t="s">
        <v>113</v>
      </c>
      <c r="C160" s="41" t="n">
        <f aca="false">INDEX(Maos_por_spot!$P$5:$P$173,MATCH($B160,Maos_por_spot!$A$5:$A$173,0))</f>
        <v>1</v>
      </c>
      <c r="D160" s="43" t="str">
        <f aca="false">INDEX(Maos_por_spot!$Q$5:$Q$173,MATCH($B160,Maos_por_spot!$A$5:$A$173,0))</f>
        <v>3bet</v>
      </c>
      <c r="E160" s="40" t="n">
        <f aca="false">INDEX(Folds_total!$E$5:$E$173,MATCH($B160,Folds_total!$A$5:$A$173,0))</f>
        <v>1</v>
      </c>
      <c r="F160" s="44" t="n">
        <f aca="false">IF(E160="","",E160*C160)</f>
        <v>1</v>
      </c>
      <c r="G160" s="9" t="str">
        <f aca="false">IF(E160="","",IF(AND(C160&gt;=0.8,E160&gt;=$D$4),"Revisar: o solver quase sempre defende",""))</f>
        <v/>
      </c>
      <c r="H160" s="45"/>
    </row>
    <row r="161" customFormat="false" ht="15" hidden="false" customHeight="true" outlineLevel="0" collapsed="false">
      <c r="A161" s="5" t="s">
        <v>41</v>
      </c>
      <c r="B161" s="9" t="s">
        <v>114</v>
      </c>
      <c r="C161" s="41" t="n">
        <f aca="false">INDEX(Maos_por_spot!$P$5:$P$173,MATCH($B161,Maos_por_spot!$A$5:$A$173,0))</f>
        <v>1</v>
      </c>
      <c r="D161" s="43" t="str">
        <f aca="false">INDEX(Maos_por_spot!$Q$5:$Q$173,MATCH($B161,Maos_por_spot!$A$5:$A$173,0))</f>
        <v>3bet</v>
      </c>
      <c r="E161" s="40" t="n">
        <f aca="false">INDEX(Folds_total!$E$5:$E$173,MATCH($B161,Folds_total!$A$5:$A$173,0))</f>
        <v>0</v>
      </c>
      <c r="F161" s="44" t="n">
        <f aca="false">IF(E161="","",E161*C161)</f>
        <v>0</v>
      </c>
      <c r="G161" s="9" t="str">
        <f aca="false">IF(E161="","",IF(AND(C161&gt;=0.8,E161&gt;=$D$4),"Revisar: o solver quase sempre defende",""))</f>
        <v/>
      </c>
      <c r="H161" s="45"/>
    </row>
    <row r="162" customFormat="false" ht="15" hidden="false" customHeight="true" outlineLevel="0" collapsed="false">
      <c r="A162" s="5" t="s">
        <v>41</v>
      </c>
      <c r="B162" s="9" t="s">
        <v>115</v>
      </c>
      <c r="C162" s="41" t="n">
        <f aca="false">INDEX(Maos_por_spot!$P$5:$P$173,MATCH($B162,Maos_por_spot!$A$5:$A$173,0))</f>
        <v>1</v>
      </c>
      <c r="D162" s="43" t="str">
        <f aca="false">INDEX(Maos_por_spot!$Q$5:$Q$173,MATCH($B162,Maos_por_spot!$A$5:$A$173,0))</f>
        <v>3bet/call</v>
      </c>
      <c r="E162" s="40" t="n">
        <f aca="false">INDEX(Folds_total!$E$5:$E$173,MATCH($B162,Folds_total!$A$5:$A$173,0))</f>
        <v>0</v>
      </c>
      <c r="F162" s="44" t="n">
        <f aca="false">IF(E162="","",E162*C162)</f>
        <v>0</v>
      </c>
      <c r="G162" s="9" t="str">
        <f aca="false">IF(E162="","",IF(AND(C162&gt;=0.8,E162&gt;=$D$4),"Revisar: o solver quase sempre defende",""))</f>
        <v/>
      </c>
      <c r="H162" s="45"/>
    </row>
    <row r="163" customFormat="false" ht="15" hidden="false" customHeight="true" outlineLevel="0" collapsed="false">
      <c r="A163" s="5" t="s">
        <v>41</v>
      </c>
      <c r="B163" s="9" t="s">
        <v>116</v>
      </c>
      <c r="C163" s="41" t="n">
        <f aca="false">INDEX(Maos_por_spot!$P$5:$P$173,MATCH($B163,Maos_por_spot!$A$5:$A$173,0))</f>
        <v>1</v>
      </c>
      <c r="D163" s="43" t="str">
        <f aca="false">INDEX(Maos_por_spot!$Q$5:$Q$173,MATCH($B163,Maos_por_spot!$A$5:$A$173,0))</f>
        <v>3bet</v>
      </c>
      <c r="E163" s="40" t="n">
        <f aca="false">INDEX(Folds_total!$E$5:$E$173,MATCH($B163,Folds_total!$A$5:$A$173,0))</f>
        <v>0</v>
      </c>
      <c r="F163" s="44" t="n">
        <f aca="false">IF(E163="","",E163*C163)</f>
        <v>0</v>
      </c>
      <c r="G163" s="9" t="str">
        <f aca="false">IF(E163="","",IF(AND(C163&gt;=0.8,E163&gt;=$D$4),"Revisar: o solver quase sempre defende",""))</f>
        <v/>
      </c>
      <c r="H163" s="45"/>
    </row>
    <row r="164" customFormat="false" ht="15" hidden="false" customHeight="true" outlineLevel="0" collapsed="false">
      <c r="A164" s="5" t="s">
        <v>41</v>
      </c>
      <c r="B164" s="9" t="s">
        <v>117</v>
      </c>
      <c r="C164" s="41" t="n">
        <f aca="false">INDEX(Maos_por_spot!$P$5:$P$173,MATCH($B164,Maos_por_spot!$A$5:$A$173,0))</f>
        <v>1</v>
      </c>
      <c r="D164" s="43" t="str">
        <f aca="false">INDEX(Maos_por_spot!$Q$5:$Q$173,MATCH($B164,Maos_por_spot!$A$5:$A$173,0))</f>
        <v>Call</v>
      </c>
      <c r="E164" s="40" t="n">
        <f aca="false">INDEX(Folds_total!$E$5:$E$173,MATCH($B164,Folds_total!$A$5:$A$173,0))</f>
        <v>1</v>
      </c>
      <c r="F164" s="44" t="n">
        <f aca="false">IF(E164="","",E164*C164)</f>
        <v>1</v>
      </c>
      <c r="G164" s="9" t="str">
        <f aca="false">IF(E164="","",IF(AND(C164&gt;=0.8,E164&gt;=$D$4),"Revisar: o solver quase sempre defende",""))</f>
        <v/>
      </c>
      <c r="H164" s="45"/>
    </row>
    <row r="165" customFormat="false" ht="15" hidden="false" customHeight="true" outlineLevel="0" collapsed="false">
      <c r="A165" s="5" t="s">
        <v>41</v>
      </c>
      <c r="B165" s="9" t="s">
        <v>118</v>
      </c>
      <c r="C165" s="41" t="n">
        <f aca="false">INDEX(Maos_por_spot!$P$5:$P$173,MATCH($B165,Maos_por_spot!$A$5:$A$173,0))</f>
        <v>1</v>
      </c>
      <c r="D165" s="43" t="str">
        <f aca="false">INDEX(Maos_por_spot!$Q$5:$Q$173,MATCH($B165,Maos_por_spot!$A$5:$A$173,0))</f>
        <v>Call</v>
      </c>
      <c r="E165" s="40" t="n">
        <f aca="false">INDEX(Folds_total!$E$5:$E$173,MATCH($B165,Folds_total!$A$5:$A$173,0))</f>
        <v>5</v>
      </c>
      <c r="F165" s="44" t="n">
        <f aca="false">IF(E165="","",E165*C165)</f>
        <v>5</v>
      </c>
      <c r="G165" s="9" t="str">
        <f aca="false">IF(E165="","",IF(AND(C165&gt;=0.8,E165&gt;=$D$4),"Revisar: o solver quase sempre defende",""))</f>
        <v/>
      </c>
      <c r="H165" s="45"/>
    </row>
    <row r="166" customFormat="false" ht="15" hidden="false" customHeight="true" outlineLevel="0" collapsed="false">
      <c r="A166" s="5" t="s">
        <v>41</v>
      </c>
      <c r="B166" s="9" t="s">
        <v>119</v>
      </c>
      <c r="C166" s="41" t="n">
        <f aca="false">INDEX(Maos_por_spot!$P$5:$P$173,MATCH($B166,Maos_por_spot!$A$5:$A$173,0))</f>
        <v>1</v>
      </c>
      <c r="D166" s="43" t="str">
        <f aca="false">INDEX(Maos_por_spot!$Q$5:$Q$173,MATCH($B166,Maos_por_spot!$A$5:$A$173,0))</f>
        <v>3bet/call</v>
      </c>
      <c r="E166" s="40" t="n">
        <f aca="false">INDEX(Folds_total!$E$5:$E$173,MATCH($B166,Folds_total!$A$5:$A$173,0))</f>
        <v>10</v>
      </c>
      <c r="F166" s="44" t="n">
        <f aca="false">IF(E166="","",E166*C166)</f>
        <v>10</v>
      </c>
      <c r="G166" s="9" t="str">
        <f aca="false">IF(E166="","",IF(AND(C166&gt;=0.8,E166&gt;=$D$4),"Revisar: o solver quase sempre defende",""))</f>
        <v>Revisar: o solver quase sempre defende</v>
      </c>
      <c r="H166" s="45"/>
    </row>
    <row r="167" customFormat="false" ht="15" hidden="false" customHeight="true" outlineLevel="0" collapsed="false">
      <c r="A167" s="5" t="s">
        <v>41</v>
      </c>
      <c r="B167" s="9" t="s">
        <v>120</v>
      </c>
      <c r="C167" s="41" t="n">
        <f aca="false">INDEX(Maos_por_spot!$P$5:$P$173,MATCH($B167,Maos_por_spot!$A$5:$A$173,0))</f>
        <v>1</v>
      </c>
      <c r="D167" s="43" t="str">
        <f aca="false">INDEX(Maos_por_spot!$Q$5:$Q$173,MATCH($B167,Maos_por_spot!$A$5:$A$173,0))</f>
        <v>3bet/call</v>
      </c>
      <c r="E167" s="40" t="n">
        <f aca="false">INDEX(Folds_total!$E$5:$E$173,MATCH($B167,Folds_total!$A$5:$A$173,0))</f>
        <v>5</v>
      </c>
      <c r="F167" s="44" t="n">
        <f aca="false">IF(E167="","",E167*C167)</f>
        <v>5</v>
      </c>
      <c r="G167" s="9" t="str">
        <f aca="false">IF(E167="","",IF(AND(C167&gt;=0.8,E167&gt;=$D$4),"Revisar: o solver quase sempre defende",""))</f>
        <v/>
      </c>
      <c r="H167" s="45"/>
    </row>
    <row r="168" customFormat="false" ht="15" hidden="false" customHeight="true" outlineLevel="0" collapsed="false">
      <c r="A168" s="5" t="s">
        <v>41</v>
      </c>
      <c r="B168" s="9" t="s">
        <v>125</v>
      </c>
      <c r="C168" s="41" t="n">
        <f aca="false">INDEX(Maos_por_spot!$P$5:$P$173,MATCH($B168,Maos_por_spot!$A$5:$A$173,0))</f>
        <v>1</v>
      </c>
      <c r="D168" s="43" t="str">
        <f aca="false">INDEX(Maos_por_spot!$Q$5:$Q$173,MATCH($B168,Maos_por_spot!$A$5:$A$173,0))</f>
        <v>3bet</v>
      </c>
      <c r="E168" s="40" t="n">
        <f aca="false">INDEX(Folds_total!$E$5:$E$173,MATCH($B168,Folds_total!$A$5:$A$173,0))</f>
        <v>1</v>
      </c>
      <c r="F168" s="44" t="n">
        <f aca="false">IF(E168="","",E168*C168)</f>
        <v>1</v>
      </c>
      <c r="G168" s="9" t="str">
        <f aca="false">IF(E168="","",IF(AND(C168&gt;=0.8,E168&gt;=$D$4),"Revisar: o solver quase sempre defende",""))</f>
        <v/>
      </c>
      <c r="H168" s="45"/>
    </row>
    <row r="169" customFormat="false" ht="15" hidden="false" customHeight="true" outlineLevel="0" collapsed="false">
      <c r="A169" s="5" t="s">
        <v>41</v>
      </c>
      <c r="B169" s="9" t="s">
        <v>126</v>
      </c>
      <c r="C169" s="41" t="n">
        <f aca="false">INDEX(Maos_por_spot!$P$5:$P$173,MATCH($B169,Maos_por_spot!$A$5:$A$173,0))</f>
        <v>1</v>
      </c>
      <c r="D169" s="43" t="str">
        <f aca="false">INDEX(Maos_por_spot!$Q$5:$Q$173,MATCH($B169,Maos_por_spot!$A$5:$A$173,0))</f>
        <v>3bet/call</v>
      </c>
      <c r="E169" s="40" t="n">
        <f aca="false">INDEX(Folds_total!$E$5:$E$173,MATCH($B169,Folds_total!$A$5:$A$173,0))</f>
        <v>2</v>
      </c>
      <c r="F169" s="44" t="n">
        <f aca="false">IF(E169="","",E169*C169)</f>
        <v>2</v>
      </c>
      <c r="G169" s="9" t="str">
        <f aca="false">IF(E169="","",IF(AND(C169&gt;=0.8,E169&gt;=$D$4),"Revisar: o solver quase sempre defende",""))</f>
        <v/>
      </c>
      <c r="H169" s="45"/>
    </row>
    <row r="170" customFormat="false" ht="15" hidden="false" customHeight="true" outlineLevel="0" collapsed="false">
      <c r="A170" s="5" t="s">
        <v>41</v>
      </c>
      <c r="B170" s="9" t="s">
        <v>127</v>
      </c>
      <c r="C170" s="41" t="n">
        <f aca="false">INDEX(Maos_por_spot!$P$5:$P$173,MATCH($B170,Maos_por_spot!$A$5:$A$173,0))</f>
        <v>1</v>
      </c>
      <c r="D170" s="43" t="str">
        <f aca="false">INDEX(Maos_por_spot!$Q$5:$Q$173,MATCH($B170,Maos_por_spot!$A$5:$A$173,0))</f>
        <v>3bet/call</v>
      </c>
      <c r="E170" s="40" t="n">
        <f aca="false">INDEX(Folds_total!$E$5:$E$173,MATCH($B170,Folds_total!$A$5:$A$173,0))</f>
        <v>7</v>
      </c>
      <c r="F170" s="44" t="n">
        <f aca="false">IF(E170="","",E170*C170)</f>
        <v>7</v>
      </c>
      <c r="G170" s="9" t="str">
        <f aca="false">IF(E170="","",IF(AND(C170&gt;=0.8,E170&gt;=$D$4),"Revisar: o solver quase sempre defende",""))</f>
        <v>Revisar: o solver quase sempre defende</v>
      </c>
      <c r="H170" s="45"/>
    </row>
    <row r="171" customFormat="false" ht="15" hidden="false" customHeight="true" outlineLevel="0" collapsed="false">
      <c r="A171" s="5" t="s">
        <v>41</v>
      </c>
      <c r="B171" s="9" t="s">
        <v>128</v>
      </c>
      <c r="C171" s="41" t="n">
        <f aca="false">INDEX(Maos_por_spot!$P$5:$P$173,MATCH($B171,Maos_por_spot!$A$5:$A$173,0))</f>
        <v>1</v>
      </c>
      <c r="D171" s="43" t="str">
        <f aca="false">INDEX(Maos_por_spot!$Q$5:$Q$173,MATCH($B171,Maos_por_spot!$A$5:$A$173,0))</f>
        <v>3bet</v>
      </c>
      <c r="E171" s="40" t="n">
        <f aca="false">INDEX(Folds_total!$E$5:$E$173,MATCH($B171,Folds_total!$A$5:$A$173,0))</f>
        <v>0</v>
      </c>
      <c r="F171" s="44" t="n">
        <f aca="false">IF(E171="","",E171*C171)</f>
        <v>0</v>
      </c>
      <c r="G171" s="9" t="str">
        <f aca="false">IF(E171="","",IF(AND(C171&gt;=0.8,E171&gt;=$D$4),"Revisar: o solver quase sempre defende",""))</f>
        <v/>
      </c>
      <c r="H171" s="45"/>
    </row>
    <row r="172" customFormat="false" ht="15" hidden="false" customHeight="true" outlineLevel="0" collapsed="false">
      <c r="A172" s="5" t="s">
        <v>41</v>
      </c>
      <c r="B172" s="9" t="s">
        <v>129</v>
      </c>
      <c r="C172" s="41" t="n">
        <f aca="false">INDEX(Maos_por_spot!$P$5:$P$173,MATCH($B172,Maos_por_spot!$A$5:$A$173,0))</f>
        <v>1</v>
      </c>
      <c r="D172" s="43" t="str">
        <f aca="false">INDEX(Maos_por_spot!$Q$5:$Q$173,MATCH($B172,Maos_por_spot!$A$5:$A$173,0))</f>
        <v>3bet</v>
      </c>
      <c r="E172" s="40" t="n">
        <f aca="false">INDEX(Folds_total!$E$5:$E$173,MATCH($B172,Folds_total!$A$5:$A$173,0))</f>
        <v>0</v>
      </c>
      <c r="F172" s="44" t="n">
        <f aca="false">IF(E172="","",E172*C172)</f>
        <v>0</v>
      </c>
      <c r="G172" s="9" t="str">
        <f aca="false">IF(E172="","",IF(AND(C172&gt;=0.8,E172&gt;=$D$4),"Revisar: o solver quase sempre defende",""))</f>
        <v/>
      </c>
      <c r="H172" s="45"/>
    </row>
    <row r="173" customFormat="false" ht="15" hidden="false" customHeight="true" outlineLevel="0" collapsed="false">
      <c r="A173" s="5" t="s">
        <v>41</v>
      </c>
      <c r="B173" s="9" t="s">
        <v>130</v>
      </c>
      <c r="C173" s="41" t="n">
        <f aca="false">INDEX(Maos_por_spot!$P$5:$P$173,MATCH($B173,Maos_por_spot!$A$5:$A$173,0))</f>
        <v>1</v>
      </c>
      <c r="D173" s="43" t="str">
        <f aca="false">INDEX(Maos_por_spot!$Q$5:$Q$173,MATCH($B173,Maos_por_spot!$A$5:$A$173,0))</f>
        <v>Call</v>
      </c>
      <c r="E173" s="40" t="n">
        <f aca="false">INDEX(Folds_total!$E$5:$E$173,MATCH($B173,Folds_total!$A$5:$A$173,0))</f>
        <v>0</v>
      </c>
      <c r="F173" s="44" t="n">
        <f aca="false">IF(E173="","",E173*C173)</f>
        <v>0</v>
      </c>
      <c r="G173" s="9" t="str">
        <f aca="false">IF(E173="","",IF(AND(C173&gt;=0.8,E173&gt;=$D$4),"Revisar: o solver quase sempre defende",""))</f>
        <v/>
      </c>
      <c r="H173" s="45"/>
    </row>
    <row r="174" customFormat="false" ht="15" hidden="false" customHeight="true" outlineLevel="0" collapsed="false">
      <c r="A174" s="5" t="s">
        <v>41</v>
      </c>
      <c r="B174" s="9" t="s">
        <v>131</v>
      </c>
      <c r="C174" s="41" t="n">
        <f aca="false">INDEX(Maos_por_spot!$P$5:$P$173,MATCH($B174,Maos_por_spot!$A$5:$A$173,0))</f>
        <v>1</v>
      </c>
      <c r="D174" s="43" t="str">
        <f aca="false">INDEX(Maos_por_spot!$Q$5:$Q$173,MATCH($B174,Maos_por_spot!$A$5:$A$173,0))</f>
        <v>3bet/call</v>
      </c>
      <c r="E174" s="40" t="n">
        <f aca="false">INDEX(Folds_total!$E$5:$E$173,MATCH($B174,Folds_total!$A$5:$A$173,0))</f>
        <v>2</v>
      </c>
      <c r="F174" s="44" t="n">
        <f aca="false">IF(E174="","",E174*C174)</f>
        <v>2</v>
      </c>
      <c r="G174" s="9" t="str">
        <f aca="false">IF(E174="","",IF(AND(C174&gt;=0.8,E174&gt;=$D$4),"Revisar: o solver quase sempre defende",""))</f>
        <v/>
      </c>
      <c r="H174" s="45"/>
    </row>
    <row r="175" customFormat="false" ht="15" hidden="false" customHeight="true" outlineLevel="0" collapsed="false">
      <c r="A175" s="5" t="s">
        <v>41</v>
      </c>
      <c r="B175" s="9" t="s">
        <v>138</v>
      </c>
      <c r="C175" s="41" t="n">
        <f aca="false">INDEX(Maos_por_spot!$P$5:$P$173,MATCH($B175,Maos_por_spot!$A$5:$A$173,0))</f>
        <v>1</v>
      </c>
      <c r="D175" s="43" t="str">
        <f aca="false">INDEX(Maos_por_spot!$Q$5:$Q$173,MATCH($B175,Maos_por_spot!$A$5:$A$173,0))</f>
        <v>3bet/call</v>
      </c>
      <c r="E175" s="40" t="n">
        <f aca="false">INDEX(Folds_total!$E$5:$E$173,MATCH($B175,Folds_total!$A$5:$A$173,0))</f>
        <v>3</v>
      </c>
      <c r="F175" s="44" t="n">
        <f aca="false">IF(E175="","",E175*C175)</f>
        <v>3</v>
      </c>
      <c r="G175" s="9" t="str">
        <f aca="false">IF(E175="","",IF(AND(C175&gt;=0.8,E175&gt;=$D$4),"Revisar: o solver quase sempre defende",""))</f>
        <v/>
      </c>
      <c r="H175" s="45"/>
    </row>
    <row r="176" customFormat="false" ht="15" hidden="false" customHeight="true" outlineLevel="0" collapsed="false">
      <c r="A176" s="5" t="s">
        <v>41</v>
      </c>
      <c r="B176" s="9" t="s">
        <v>139</v>
      </c>
      <c r="C176" s="41" t="n">
        <f aca="false">INDEX(Maos_por_spot!$P$5:$P$173,MATCH($B176,Maos_por_spot!$A$5:$A$173,0))</f>
        <v>1</v>
      </c>
      <c r="D176" s="43" t="str">
        <f aca="false">INDEX(Maos_por_spot!$Q$5:$Q$173,MATCH($B176,Maos_por_spot!$A$5:$A$173,0))</f>
        <v>3bet/call</v>
      </c>
      <c r="E176" s="40" t="n">
        <f aca="false">INDEX(Folds_total!$E$5:$E$173,MATCH($B176,Folds_total!$A$5:$A$173,0))</f>
        <v>19</v>
      </c>
      <c r="F176" s="44" t="n">
        <f aca="false">IF(E176="","",E176*C176)</f>
        <v>19</v>
      </c>
      <c r="G176" s="9" t="str">
        <f aca="false">IF(E176="","",IF(AND(C176&gt;=0.8,E176&gt;=$D$4),"Revisar: o solver quase sempre defende",""))</f>
        <v>Revisar: o solver quase sempre defende</v>
      </c>
      <c r="H176" s="45"/>
    </row>
    <row r="177" customFormat="false" ht="15" hidden="false" customHeight="true" outlineLevel="0" collapsed="false">
      <c r="A177" s="5" t="s">
        <v>41</v>
      </c>
      <c r="B177" s="9" t="s">
        <v>140</v>
      </c>
      <c r="C177" s="41" t="n">
        <f aca="false">INDEX(Maos_por_spot!$P$5:$P$173,MATCH($B177,Maos_por_spot!$A$5:$A$173,0))</f>
        <v>1</v>
      </c>
      <c r="D177" s="43" t="str">
        <f aca="false">INDEX(Maos_por_spot!$Q$5:$Q$173,MATCH($B177,Maos_por_spot!$A$5:$A$173,0))</f>
        <v>3bet/call</v>
      </c>
      <c r="E177" s="40" t="n">
        <f aca="false">INDEX(Folds_total!$E$5:$E$173,MATCH($B177,Folds_total!$A$5:$A$173,0))</f>
        <v>12</v>
      </c>
      <c r="F177" s="44" t="n">
        <f aca="false">IF(E177="","",E177*C177)</f>
        <v>12</v>
      </c>
      <c r="G177" s="9" t="str">
        <f aca="false">IF(E177="","",IF(AND(C177&gt;=0.8,E177&gt;=$D$4),"Revisar: o solver quase sempre defende",""))</f>
        <v>Revisar: o solver quase sempre defende</v>
      </c>
      <c r="H177" s="45"/>
    </row>
    <row r="178" customFormat="false" ht="15" hidden="false" customHeight="true" outlineLevel="0" collapsed="false">
      <c r="A178" s="5" t="s">
        <v>41</v>
      </c>
      <c r="B178" s="9" t="s">
        <v>141</v>
      </c>
      <c r="C178" s="41" t="n">
        <f aca="false">INDEX(Maos_por_spot!$P$5:$P$173,MATCH($B178,Maos_por_spot!$A$5:$A$173,0))</f>
        <v>1</v>
      </c>
      <c r="D178" s="43" t="str">
        <f aca="false">INDEX(Maos_por_spot!$Q$5:$Q$173,MATCH($B178,Maos_por_spot!$A$5:$A$173,0))</f>
        <v>3bet/call</v>
      </c>
      <c r="E178" s="40" t="n">
        <f aca="false">INDEX(Folds_total!$E$5:$E$173,MATCH($B178,Folds_total!$A$5:$A$173,0))</f>
        <v>15</v>
      </c>
      <c r="F178" s="44" t="n">
        <f aca="false">IF(E178="","",E178*C178)</f>
        <v>15</v>
      </c>
      <c r="G178" s="9" t="str">
        <f aca="false">IF(E178="","",IF(AND(C178&gt;=0.8,E178&gt;=$D$4),"Revisar: o solver quase sempre defende",""))</f>
        <v>Revisar: o solver quase sempre defende</v>
      </c>
      <c r="H178" s="45"/>
    </row>
    <row r="179" customFormat="false" ht="15" hidden="false" customHeight="true" outlineLevel="0" collapsed="false">
      <c r="A179" s="5" t="s">
        <v>41</v>
      </c>
      <c r="B179" s="9" t="s">
        <v>142</v>
      </c>
      <c r="C179" s="41" t="n">
        <f aca="false">INDEX(Maos_por_spot!$P$5:$P$173,MATCH($B179,Maos_por_spot!$A$5:$A$173,0))</f>
        <v>1</v>
      </c>
      <c r="D179" s="43" t="str">
        <f aca="false">INDEX(Maos_por_spot!$Q$5:$Q$173,MATCH($B179,Maos_por_spot!$A$5:$A$173,0))</f>
        <v>3bet</v>
      </c>
      <c r="E179" s="40" t="n">
        <f aca="false">INDEX(Folds_total!$E$5:$E$173,MATCH($B179,Folds_total!$A$5:$A$173,0))</f>
        <v>0</v>
      </c>
      <c r="F179" s="44" t="n">
        <f aca="false">IF(E179="","",E179*C179)</f>
        <v>0</v>
      </c>
      <c r="G179" s="9" t="str">
        <f aca="false">IF(E179="","",IF(AND(C179&gt;=0.8,E179&gt;=$D$4),"Revisar: o solver quase sempre defende",""))</f>
        <v/>
      </c>
      <c r="H179" s="45"/>
    </row>
    <row r="180" customFormat="false" ht="15" hidden="false" customHeight="true" outlineLevel="0" collapsed="false">
      <c r="A180" s="5" t="s">
        <v>41</v>
      </c>
      <c r="B180" s="9" t="s">
        <v>143</v>
      </c>
      <c r="C180" s="41" t="n">
        <f aca="false">INDEX(Maos_por_spot!$P$5:$P$173,MATCH($B180,Maos_por_spot!$A$5:$A$173,0))</f>
        <v>1</v>
      </c>
      <c r="D180" s="43" t="str">
        <f aca="false">INDEX(Maos_por_spot!$Q$5:$Q$173,MATCH($B180,Maos_por_spot!$A$5:$A$173,0))</f>
        <v>Call</v>
      </c>
      <c r="E180" s="40" t="n">
        <f aca="false">INDEX(Folds_total!$E$5:$E$173,MATCH($B180,Folds_total!$A$5:$A$173,0))</f>
        <v>1</v>
      </c>
      <c r="F180" s="44" t="n">
        <f aca="false">IF(E180="","",E180*C180)</f>
        <v>1</v>
      </c>
      <c r="G180" s="9" t="str">
        <f aca="false">IF(E180="","",IF(AND(C180&gt;=0.8,E180&gt;=$D$4),"Revisar: o solver quase sempre defende",""))</f>
        <v/>
      </c>
      <c r="H180" s="45"/>
    </row>
    <row r="181" customFormat="false" ht="15" hidden="false" customHeight="true" outlineLevel="0" collapsed="false">
      <c r="A181" s="5" t="s">
        <v>41</v>
      </c>
      <c r="B181" s="9" t="s">
        <v>144</v>
      </c>
      <c r="C181" s="41" t="n">
        <f aca="false">INDEX(Maos_por_spot!$P$5:$P$173,MATCH($B181,Maos_por_spot!$A$5:$A$173,0))</f>
        <v>1</v>
      </c>
      <c r="D181" s="43" t="str">
        <f aca="false">INDEX(Maos_por_spot!$Q$5:$Q$173,MATCH($B181,Maos_por_spot!$A$5:$A$173,0))</f>
        <v>Call</v>
      </c>
      <c r="E181" s="40" t="n">
        <f aca="false">INDEX(Folds_total!$E$5:$E$173,MATCH($B181,Folds_total!$A$5:$A$173,0))</f>
        <v>4</v>
      </c>
      <c r="F181" s="44" t="n">
        <f aca="false">IF(E181="","",E181*C181)</f>
        <v>4</v>
      </c>
      <c r="G181" s="9" t="str">
        <f aca="false">IF(E181="","",IF(AND(C181&gt;=0.8,E181&gt;=$D$4),"Revisar: o solver quase sempre defende",""))</f>
        <v/>
      </c>
      <c r="H181" s="45"/>
    </row>
    <row r="182" customFormat="false" ht="15" hidden="false" customHeight="true" outlineLevel="0" collapsed="false">
      <c r="A182" s="5" t="s">
        <v>41</v>
      </c>
      <c r="B182" s="9" t="s">
        <v>151</v>
      </c>
      <c r="C182" s="41" t="n">
        <f aca="false">INDEX(Maos_por_spot!$P$5:$P$173,MATCH($B182,Maos_por_spot!$A$5:$A$173,0))</f>
        <v>1</v>
      </c>
      <c r="D182" s="43" t="str">
        <f aca="false">INDEX(Maos_por_spot!$Q$5:$Q$173,MATCH($B182,Maos_por_spot!$A$5:$A$173,0))</f>
        <v>3bet</v>
      </c>
      <c r="E182" s="40" t="n">
        <f aca="false">INDEX(Folds_total!$E$5:$E$173,MATCH($B182,Folds_total!$A$5:$A$173,0))</f>
        <v>12</v>
      </c>
      <c r="F182" s="44" t="n">
        <f aca="false">IF(E182="","",E182*C182)</f>
        <v>12</v>
      </c>
      <c r="G182" s="9" t="str">
        <f aca="false">IF(E182="","",IF(AND(C182&gt;=0.8,E182&gt;=$D$4),"Revisar: o solver quase sempre defende",""))</f>
        <v>Revisar: o solver quase sempre defende</v>
      </c>
      <c r="H182" s="45"/>
    </row>
    <row r="183" customFormat="false" ht="15" hidden="false" customHeight="true" outlineLevel="0" collapsed="false">
      <c r="A183" s="5" t="s">
        <v>41</v>
      </c>
      <c r="B183" s="9" t="s">
        <v>156</v>
      </c>
      <c r="C183" s="41" t="n">
        <f aca="false">INDEX(Maos_por_spot!$P$5:$P$173,MATCH($B183,Maos_por_spot!$A$5:$A$173,0))</f>
        <v>1</v>
      </c>
      <c r="D183" s="43" t="str">
        <f aca="false">INDEX(Maos_por_spot!$Q$5:$Q$173,MATCH($B183,Maos_por_spot!$A$5:$A$173,0))</f>
        <v>3bet</v>
      </c>
      <c r="E183" s="40" t="n">
        <f aca="false">INDEX(Folds_total!$E$5:$E$173,MATCH($B183,Folds_total!$A$5:$A$173,0))</f>
        <v>0</v>
      </c>
      <c r="F183" s="44" t="n">
        <f aca="false">IF(E183="","",E183*C183)</f>
        <v>0</v>
      </c>
      <c r="G183" s="9" t="str">
        <f aca="false">IF(E183="","",IF(AND(C183&gt;=0.8,E183&gt;=$D$4),"Revisar: o solver quase sempre defende",""))</f>
        <v/>
      </c>
      <c r="H183" s="45"/>
    </row>
    <row r="184" customFormat="false" ht="15" hidden="false" customHeight="true" outlineLevel="0" collapsed="false">
      <c r="A184" s="5" t="s">
        <v>41</v>
      </c>
      <c r="B184" s="9" t="s">
        <v>157</v>
      </c>
      <c r="C184" s="41" t="n">
        <f aca="false">INDEX(Maos_por_spot!$P$5:$P$173,MATCH($B184,Maos_por_spot!$A$5:$A$173,0))</f>
        <v>1</v>
      </c>
      <c r="D184" s="43" t="str">
        <f aca="false">INDEX(Maos_por_spot!$Q$5:$Q$173,MATCH($B184,Maos_por_spot!$A$5:$A$173,0))</f>
        <v>3bet/call</v>
      </c>
      <c r="E184" s="40" t="n">
        <f aca="false">INDEX(Folds_total!$E$5:$E$173,MATCH($B184,Folds_total!$A$5:$A$173,0))</f>
        <v>1</v>
      </c>
      <c r="F184" s="44" t="n">
        <f aca="false">IF(E184="","",E184*C184)</f>
        <v>1</v>
      </c>
      <c r="G184" s="9" t="str">
        <f aca="false">IF(E184="","",IF(AND(C184&gt;=0.8,E184&gt;=$D$4),"Revisar: o solver quase sempre defende",""))</f>
        <v/>
      </c>
      <c r="H184" s="45"/>
    </row>
    <row r="185" customFormat="false" ht="15" hidden="false" customHeight="true" outlineLevel="0" collapsed="false">
      <c r="A185" s="5" t="s">
        <v>41</v>
      </c>
      <c r="B185" s="9" t="s">
        <v>158</v>
      </c>
      <c r="C185" s="41" t="n">
        <f aca="false">INDEX(Maos_por_spot!$P$5:$P$173,MATCH($B185,Maos_por_spot!$A$5:$A$173,0))</f>
        <v>0.8</v>
      </c>
      <c r="D185" s="43" t="str">
        <f aca="false">INDEX(Maos_por_spot!$Q$5:$Q$173,MATCH($B185,Maos_por_spot!$A$5:$A$173,0))</f>
        <v>3bet/call</v>
      </c>
      <c r="E185" s="40" t="n">
        <f aca="false">INDEX(Folds_total!$E$5:$E$173,MATCH($B185,Folds_total!$A$5:$A$173,0))</f>
        <v>5</v>
      </c>
      <c r="F185" s="44" t="n">
        <f aca="false">IF(E185="","",E185*C185)</f>
        <v>4</v>
      </c>
      <c r="G185" s="9" t="str">
        <f aca="false">IF(E185="","",IF(AND(C185&gt;=0.8,E185&gt;=$D$4),"Revisar: o solver quase sempre defende",""))</f>
        <v/>
      </c>
      <c r="H185" s="45"/>
    </row>
    <row r="186" customFormat="false" ht="15" hidden="false" customHeight="true" outlineLevel="0" collapsed="false">
      <c r="A186" s="5" t="s">
        <v>41</v>
      </c>
      <c r="B186" s="9" t="s">
        <v>164</v>
      </c>
      <c r="C186" s="41" t="n">
        <f aca="false">INDEX(Maos_por_spot!$P$5:$P$173,MATCH($B186,Maos_por_spot!$A$5:$A$173,0))</f>
        <v>1</v>
      </c>
      <c r="D186" s="43" t="str">
        <f aca="false">INDEX(Maos_por_spot!$Q$5:$Q$173,MATCH($B186,Maos_por_spot!$A$5:$A$173,0))</f>
        <v>3bet/call</v>
      </c>
      <c r="E186" s="40" t="n">
        <f aca="false">INDEX(Folds_total!$E$5:$E$173,MATCH($B186,Folds_total!$A$5:$A$173,0))</f>
        <v>14</v>
      </c>
      <c r="F186" s="44" t="n">
        <f aca="false">IF(E186="","",E186*C186)</f>
        <v>14</v>
      </c>
      <c r="G186" s="9" t="str">
        <f aca="false">IF(E186="","",IF(AND(C186&gt;=0.8,E186&gt;=$D$4),"Revisar: o solver quase sempre defende",""))</f>
        <v>Revisar: o solver quase sempre defende</v>
      </c>
      <c r="H186" s="45"/>
    </row>
    <row r="187" customFormat="false" ht="15" hidden="false" customHeight="true" outlineLevel="0" collapsed="false">
      <c r="A187" s="5" t="s">
        <v>41</v>
      </c>
      <c r="B187" s="9" t="s">
        <v>170</v>
      </c>
      <c r="C187" s="41" t="n">
        <f aca="false">INDEX(Maos_por_spot!$P$5:$P$173,MATCH($B187,Maos_por_spot!$A$5:$A$173,0))</f>
        <v>1</v>
      </c>
      <c r="D187" s="43" t="str">
        <f aca="false">INDEX(Maos_por_spot!$Q$5:$Q$173,MATCH($B187,Maos_por_spot!$A$5:$A$173,0))</f>
        <v>3bet</v>
      </c>
      <c r="E187" s="40" t="n">
        <f aca="false">INDEX(Folds_total!$E$5:$E$173,MATCH($B187,Folds_total!$A$5:$A$173,0))</f>
        <v>0</v>
      </c>
      <c r="F187" s="44" t="n">
        <f aca="false">IF(E187="","",E187*C187)</f>
        <v>0</v>
      </c>
      <c r="G187" s="9" t="str">
        <f aca="false">IF(E187="","",IF(AND(C187&gt;=0.8,E187&gt;=$D$4),"Revisar: o solver quase sempre defende",""))</f>
        <v/>
      </c>
      <c r="H187" s="45"/>
    </row>
    <row r="188" customFormat="false" ht="15" hidden="false" customHeight="true" outlineLevel="0" collapsed="false">
      <c r="A188" s="5" t="s">
        <v>41</v>
      </c>
      <c r="B188" s="9" t="s">
        <v>171</v>
      </c>
      <c r="C188" s="41" t="n">
        <f aca="false">INDEX(Maos_por_spot!$P$5:$P$173,MATCH($B188,Maos_por_spot!$A$5:$A$173,0))</f>
        <v>1</v>
      </c>
      <c r="D188" s="43" t="str">
        <f aca="false">INDEX(Maos_por_spot!$Q$5:$Q$173,MATCH($B188,Maos_por_spot!$A$5:$A$173,0))</f>
        <v>Call</v>
      </c>
      <c r="E188" s="40" t="n">
        <f aca="false">INDEX(Folds_total!$E$5:$E$173,MATCH($B188,Folds_total!$A$5:$A$173,0))</f>
        <v>6</v>
      </c>
      <c r="F188" s="44" t="n">
        <f aca="false">IF(E188="","",E188*C188)</f>
        <v>6</v>
      </c>
      <c r="G188" s="9" t="str">
        <f aca="false">IF(E188="","",IF(AND(C188&gt;=0.8,E188&gt;=$D$4),"Revisar: o solver quase sempre defende",""))</f>
        <v/>
      </c>
      <c r="H188" s="45"/>
    </row>
    <row r="189" customFormat="false" ht="15" hidden="false" customHeight="true" outlineLevel="0" collapsed="false">
      <c r="A189" s="5" t="s">
        <v>41</v>
      </c>
      <c r="B189" s="9" t="s">
        <v>177</v>
      </c>
      <c r="C189" s="41" t="n">
        <f aca="false">INDEX(Maos_por_spot!$P$5:$P$173,MATCH($B189,Maos_por_spot!$A$5:$A$173,0))</f>
        <v>0.6</v>
      </c>
      <c r="D189" s="43" t="str">
        <f aca="false">INDEX(Maos_por_spot!$Q$5:$Q$173,MATCH($B189,Maos_por_spot!$A$5:$A$173,0))</f>
        <v>3bet</v>
      </c>
      <c r="E189" s="40" t="n">
        <f aca="false">INDEX(Folds_total!$E$5:$E$173,MATCH($B189,Folds_total!$A$5:$A$173,0))</f>
        <v>21</v>
      </c>
      <c r="F189" s="44" t="n">
        <f aca="false">IF(E189="","",E189*C189)</f>
        <v>12.6</v>
      </c>
      <c r="G189" s="9" t="str">
        <f aca="false">IF(E189="","",IF(AND(C189&gt;=0.8,E189&gt;=$D$4),"Revisar: o solver quase sempre defende",""))</f>
        <v/>
      </c>
      <c r="H189" s="45"/>
    </row>
    <row r="190" customFormat="false" ht="15" hidden="false" customHeight="true" outlineLevel="0" collapsed="false">
      <c r="A190" s="5" t="s">
        <v>41</v>
      </c>
      <c r="B190" s="9" t="s">
        <v>184</v>
      </c>
      <c r="C190" s="41" t="n">
        <f aca="false">INDEX(Maos_por_spot!$P$5:$P$173,MATCH($B190,Maos_por_spot!$A$5:$A$173,0))</f>
        <v>1</v>
      </c>
      <c r="D190" s="43" t="str">
        <f aca="false">INDEX(Maos_por_spot!$Q$5:$Q$173,MATCH($B190,Maos_por_spot!$A$5:$A$173,0))</f>
        <v>3bet</v>
      </c>
      <c r="E190" s="40" t="n">
        <f aca="false">INDEX(Folds_total!$E$5:$E$173,MATCH($B190,Folds_total!$A$5:$A$173,0))</f>
        <v>0</v>
      </c>
      <c r="F190" s="44" t="n">
        <f aca="false">IF(E190="","",E190*C190)</f>
        <v>0</v>
      </c>
      <c r="G190" s="9" t="str">
        <f aca="false">IF(E190="","",IF(AND(C190&gt;=0.8,E190&gt;=$D$4),"Revisar: o solver quase sempre defende",""))</f>
        <v/>
      </c>
      <c r="H190" s="45"/>
    </row>
    <row r="191" customFormat="false" ht="15" hidden="false" customHeight="true" outlineLevel="0" collapsed="false">
      <c r="A191" s="5" t="s">
        <v>41</v>
      </c>
      <c r="B191" s="9" t="s">
        <v>185</v>
      </c>
      <c r="C191" s="41" t="n">
        <f aca="false">INDEX(Maos_por_spot!$P$5:$P$173,MATCH($B191,Maos_por_spot!$A$5:$A$173,0))</f>
        <v>1</v>
      </c>
      <c r="D191" s="43" t="str">
        <f aca="false">INDEX(Maos_por_spot!$Q$5:$Q$173,MATCH($B191,Maos_por_spot!$A$5:$A$173,0))</f>
        <v>Call</v>
      </c>
      <c r="E191" s="40" t="n">
        <f aca="false">INDEX(Folds_total!$E$5:$E$173,MATCH($B191,Folds_total!$A$5:$A$173,0))</f>
        <v>5</v>
      </c>
      <c r="F191" s="44" t="n">
        <f aca="false">IF(E191="","",E191*C191)</f>
        <v>5</v>
      </c>
      <c r="G191" s="9" t="str">
        <f aca="false">IF(E191="","",IF(AND(C191&gt;=0.8,E191&gt;=$D$4),"Revisar: o solver quase sempre defende",""))</f>
        <v/>
      </c>
      <c r="H191" s="45"/>
    </row>
    <row r="192" customFormat="false" ht="15" hidden="false" customHeight="true" outlineLevel="0" collapsed="false">
      <c r="A192" s="5" t="s">
        <v>41</v>
      </c>
      <c r="B192" s="9" t="s">
        <v>198</v>
      </c>
      <c r="C192" s="41" t="n">
        <f aca="false">INDEX(Maos_por_spot!$P$5:$P$173,MATCH($B192,Maos_por_spot!$A$5:$A$173,0))</f>
        <v>1</v>
      </c>
      <c r="D192" s="43" t="str">
        <f aca="false">INDEX(Maos_por_spot!$Q$5:$Q$173,MATCH($B192,Maos_por_spot!$A$5:$A$173,0))</f>
        <v>3bet/call</v>
      </c>
      <c r="E192" s="40" t="n">
        <f aca="false">INDEX(Folds_total!$E$5:$E$173,MATCH($B192,Folds_total!$A$5:$A$173,0))</f>
        <v>0</v>
      </c>
      <c r="F192" s="44" t="n">
        <f aca="false">IF(E192="","",E192*C192)</f>
        <v>0</v>
      </c>
      <c r="G192" s="9" t="str">
        <f aca="false">IF(E192="","",IF(AND(C192&gt;=0.8,E192&gt;=$D$4),"Revisar: o solver quase sempre defende",""))</f>
        <v/>
      </c>
      <c r="H192" s="45"/>
    </row>
    <row r="193" customFormat="false" ht="15" hidden="false" customHeight="true" outlineLevel="0" collapsed="false">
      <c r="A193" s="5" t="s">
        <v>41</v>
      </c>
      <c r="B193" s="9" t="s">
        <v>199</v>
      </c>
      <c r="C193" s="41" t="n">
        <f aca="false">INDEX(Maos_por_spot!$P$5:$P$173,MATCH($B193,Maos_por_spot!$A$5:$A$173,0))</f>
        <v>0.65</v>
      </c>
      <c r="D193" s="43" t="str">
        <f aca="false">INDEX(Maos_por_spot!$Q$5:$Q$173,MATCH($B193,Maos_por_spot!$A$5:$A$173,0))</f>
        <v>Call</v>
      </c>
      <c r="E193" s="40" t="n">
        <f aca="false">INDEX(Folds_total!$E$5:$E$173,MATCH($B193,Folds_total!$A$5:$A$173,0))</f>
        <v>4</v>
      </c>
      <c r="F193" s="44" t="n">
        <f aca="false">IF(E193="","",E193*C193)</f>
        <v>2.6</v>
      </c>
      <c r="G193" s="9" t="str">
        <f aca="false">IF(E193="","",IF(AND(C193&gt;=0.8,E193&gt;=$D$4),"Revisar: o solver quase sempre defende",""))</f>
        <v/>
      </c>
      <c r="H193" s="45"/>
    </row>
    <row r="194" customFormat="false" ht="15" hidden="false" customHeight="true" outlineLevel="0" collapsed="false">
      <c r="A194" s="5" t="s">
        <v>41</v>
      </c>
      <c r="B194" s="9" t="s">
        <v>212</v>
      </c>
      <c r="C194" s="41" t="n">
        <f aca="false">INDEX(Maos_por_spot!$P$5:$P$173,MATCH($B194,Maos_por_spot!$A$5:$A$173,0))</f>
        <v>1</v>
      </c>
      <c r="D194" s="43" t="str">
        <f aca="false">INDEX(Maos_por_spot!$Q$5:$Q$173,MATCH($B194,Maos_por_spot!$A$5:$A$173,0))</f>
        <v>3bet/call</v>
      </c>
      <c r="E194" s="40" t="n">
        <f aca="false">INDEX(Folds_total!$E$5:$E$173,MATCH($B194,Folds_total!$A$5:$A$173,0))</f>
        <v>1</v>
      </c>
      <c r="F194" s="44" t="n">
        <f aca="false">IF(E194="","",E194*C194)</f>
        <v>1</v>
      </c>
      <c r="G194" s="9" t="str">
        <f aca="false">IF(E194="","",IF(AND(C194&gt;=0.8,E194&gt;=$D$4),"Revisar: o solver quase sempre defende",""))</f>
        <v/>
      </c>
      <c r="H194" s="45"/>
    </row>
    <row r="195" customFormat="false" ht="15" hidden="false" customHeight="true" outlineLevel="0" collapsed="false">
      <c r="A195" s="5" t="s">
        <v>41</v>
      </c>
      <c r="B195" s="9" t="s">
        <v>213</v>
      </c>
      <c r="C195" s="41" t="n">
        <f aca="false">INDEX(Maos_por_spot!$P$5:$P$173,MATCH($B195,Maos_por_spot!$A$5:$A$173,0))</f>
        <v>0.45</v>
      </c>
      <c r="D195" s="43" t="str">
        <f aca="false">INDEX(Maos_por_spot!$Q$5:$Q$173,MATCH($B195,Maos_por_spot!$A$5:$A$173,0))</f>
        <v>Call</v>
      </c>
      <c r="E195" s="40" t="n">
        <f aca="false">INDEX(Folds_total!$E$5:$E$173,MATCH($B195,Folds_total!$A$5:$A$173,0))</f>
        <v>10</v>
      </c>
      <c r="F195" s="44" t="n">
        <f aca="false">IF(E195="","",E195*C195)</f>
        <v>4.5</v>
      </c>
      <c r="G195" s="9" t="str">
        <f aca="false">IF(E195="","",IF(AND(C195&gt;=0.8,E195&gt;=$D$4),"Revisar: o solver quase sempre defende",""))</f>
        <v/>
      </c>
      <c r="H195" s="45"/>
    </row>
    <row r="196" customFormat="false" ht="15" hidden="false" customHeight="true" outlineLevel="0" collapsed="false">
      <c r="A196" s="5" t="s">
        <v>41</v>
      </c>
      <c r="B196" s="9" t="s">
        <v>226</v>
      </c>
      <c r="C196" s="41" t="n">
        <f aca="false">INDEX(Maos_por_spot!$P$5:$P$173,MATCH($B196,Maos_por_spot!$A$5:$A$173,0))</f>
        <v>1</v>
      </c>
      <c r="D196" s="43" t="str">
        <f aca="false">INDEX(Maos_por_spot!$Q$5:$Q$173,MATCH($B196,Maos_por_spot!$A$5:$A$173,0))</f>
        <v>3bet/call</v>
      </c>
      <c r="E196" s="40" t="n">
        <f aca="false">INDEX(Folds_total!$E$5:$E$173,MATCH($B196,Folds_total!$A$5:$A$173,0))</f>
        <v>2</v>
      </c>
      <c r="F196" s="44" t="n">
        <f aca="false">IF(E196="","",E196*C196)</f>
        <v>2</v>
      </c>
      <c r="G196" s="9" t="str">
        <f aca="false">IF(E196="","",IF(AND(C196&gt;=0.8,E196&gt;=$D$4),"Revisar: o solver quase sempre defende",""))</f>
        <v/>
      </c>
      <c r="H196" s="45"/>
    </row>
    <row r="197" customFormat="false" ht="15" hidden="false" customHeight="true" outlineLevel="0" collapsed="false">
      <c r="A197" s="5" t="s">
        <v>41</v>
      </c>
      <c r="B197" s="9" t="s">
        <v>240</v>
      </c>
      <c r="C197" s="41" t="n">
        <f aca="false">INDEX(Maos_por_spot!$P$5:$P$173,MATCH($B197,Maos_por_spot!$A$5:$A$173,0))</f>
        <v>1</v>
      </c>
      <c r="D197" s="43" t="str">
        <f aca="false">INDEX(Maos_por_spot!$Q$5:$Q$173,MATCH($B197,Maos_por_spot!$A$5:$A$173,0))</f>
        <v>Call</v>
      </c>
      <c r="E197" s="40" t="n">
        <f aca="false">INDEX(Folds_total!$E$5:$E$173,MATCH($B197,Folds_total!$A$5:$A$173,0))</f>
        <v>6</v>
      </c>
      <c r="F197" s="44" t="n">
        <f aca="false">IF(E197="","",E197*C197)</f>
        <v>6</v>
      </c>
      <c r="G197" s="9" t="str">
        <f aca="false">IF(E197="","",IF(AND(C197&gt;=0.8,E197&gt;=$D$4),"Revisar: o solver quase sempre defende",""))</f>
        <v/>
      </c>
      <c r="H197" s="45"/>
    </row>
    <row r="198" customFormat="false" ht="15" hidden="false" customHeight="true" outlineLevel="0" collapsed="false">
      <c r="A198" s="5" t="s">
        <v>41</v>
      </c>
      <c r="B198" s="9" t="s">
        <v>254</v>
      </c>
      <c r="C198" s="41" t="n">
        <f aca="false">INDEX(Maos_por_spot!$P$5:$P$173,MATCH($B198,Maos_por_spot!$A$5:$A$173,0))</f>
        <v>1</v>
      </c>
      <c r="D198" s="43" t="str">
        <f aca="false">INDEX(Maos_por_spot!$Q$5:$Q$173,MATCH($B198,Maos_por_spot!$A$5:$A$173,0))</f>
        <v>Call</v>
      </c>
      <c r="E198" s="40" t="n">
        <f aca="false">INDEX(Folds_total!$E$5:$E$173,MATCH($B198,Folds_total!$A$5:$A$173,0))</f>
        <v>8</v>
      </c>
      <c r="F198" s="44" t="n">
        <f aca="false">IF(E198="","",E198*C198)</f>
        <v>8</v>
      </c>
      <c r="G198" s="9" t="str">
        <f aca="false">IF(E198="","",IF(AND(C198&gt;=0.8,E198&gt;=$D$4),"Revisar: o solver quase sempre defende",""))</f>
        <v>Revisar: o solver quase sempre defende</v>
      </c>
      <c r="H198" s="45"/>
    </row>
  </sheetData>
  <autoFilter ref="A5:H198"/>
  <dataValidations count="1">
    <dataValidation allowBlank="true" errorStyle="stop" operator="greaterThanOrEqual" showDropDown="false" showErrorMessage="false" showInputMessage="false" sqref="E6:E198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2026-10-27T03:46:54Z</dcterms:created>
  <dc:creator>openpyxl</dc:creator>
  <dc:description/>
  <dc:language>en-US</dc:language>
  <cp:lastModifiedBy/>
  <dcterms:modified xsi:type="dcterms:W3CDTF">2026-10-27T04:15:18Z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